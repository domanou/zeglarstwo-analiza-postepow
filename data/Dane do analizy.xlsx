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minikpopielarz/Desktop/zeglarstwo-analiza/data/"/>
    </mc:Choice>
  </mc:AlternateContent>
  <xr:revisionPtr revIDLastSave="0" documentId="13_ncr:1_{378A40E7-984D-7644-9CDA-66DDFC9E0C0B}" xr6:coauthVersionLast="47" xr6:coauthVersionMax="47" xr10:uidLastSave="{00000000-0000-0000-0000-000000000000}"/>
  <bookViews>
    <workbookView xWindow="580" yWindow="660" windowWidth="28240" windowHeight="16660" activeTab="2" xr2:uid="{3439E772-BCE1-4E4B-8AE5-B5F16651E21C}"/>
  </bookViews>
  <sheets>
    <sheet name="Paweł" sheetId="1" r:id="rId1"/>
    <sheet name="Wojciech" sheetId="2" r:id="rId2"/>
    <sheet name="Lidi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2" i="3"/>
  <c r="D41" i="2"/>
  <c r="D40" i="2"/>
  <c r="D39" i="2"/>
  <c r="D45" i="2"/>
  <c r="D43" i="2"/>
  <c r="D44" i="2"/>
  <c r="D42" i="2"/>
  <c r="D46" i="2"/>
  <c r="D47" i="2"/>
  <c r="D34" i="2"/>
  <c r="D35" i="2"/>
  <c r="D30" i="2"/>
  <c r="D31" i="2"/>
  <c r="D33" i="2"/>
  <c r="D37" i="2"/>
  <c r="D32" i="2"/>
  <c r="D36" i="2"/>
  <c r="D23" i="2"/>
  <c r="D28" i="2"/>
  <c r="D25" i="2"/>
  <c r="D26" i="2"/>
  <c r="D29" i="2"/>
  <c r="D24" i="2"/>
  <c r="D27" i="2"/>
  <c r="D15" i="2"/>
  <c r="D20" i="2"/>
  <c r="D13" i="2"/>
  <c r="D17" i="2"/>
  <c r="D16" i="2"/>
  <c r="D14" i="2"/>
  <c r="D21" i="2"/>
  <c r="D19" i="2"/>
  <c r="D18" i="2"/>
  <c r="D22" i="2"/>
  <c r="D11" i="2"/>
  <c r="D8" i="2"/>
  <c r="D9" i="2"/>
  <c r="D10" i="2"/>
  <c r="D12" i="2"/>
  <c r="D3" i="2"/>
  <c r="D6" i="2"/>
  <c r="D2" i="2"/>
  <c r="D7" i="2"/>
  <c r="D5" i="2"/>
  <c r="D4" i="2"/>
  <c r="D38" i="2"/>
  <c r="D28" i="1"/>
  <c r="D3" i="1"/>
  <c r="D4" i="1"/>
  <c r="D5" i="1"/>
  <c r="D7" i="1"/>
  <c r="D8" i="1"/>
  <c r="D6" i="1"/>
  <c r="D13" i="1"/>
  <c r="D12" i="1"/>
  <c r="D14" i="1"/>
  <c r="D16" i="1"/>
  <c r="D15" i="1"/>
  <c r="D2" i="1"/>
  <c r="D9" i="1"/>
  <c r="D10" i="1"/>
  <c r="D17" i="1"/>
  <c r="D18" i="1"/>
  <c r="D11" i="1"/>
  <c r="D29" i="1"/>
  <c r="D27" i="1"/>
  <c r="D22" i="1"/>
  <c r="D21" i="1"/>
  <c r="D20" i="1"/>
  <c r="D23" i="1"/>
  <c r="D24" i="1"/>
  <c r="D25" i="1"/>
  <c r="D26" i="1"/>
  <c r="D19" i="1"/>
</calcChain>
</file>

<file path=xl/sharedStrings.xml><?xml version="1.0" encoding="utf-8"?>
<sst xmlns="http://schemas.openxmlformats.org/spreadsheetml/2006/main" count="123" uniqueCount="52">
  <si>
    <t>Mc</t>
  </si>
  <si>
    <t>Nazwa regat</t>
  </si>
  <si>
    <t>Puchar KS Zatoka Puck - OPP B </t>
  </si>
  <si>
    <t>Puchar Safege </t>
  </si>
  <si>
    <t>Puchar TKŻ Toruń </t>
  </si>
  <si>
    <t>42 Regaty Pomarańczowe, Eliminacja MPM </t>
  </si>
  <si>
    <t>Mistrzostwa PSKO U10 </t>
  </si>
  <si>
    <t>Puchar Trenerów klasy Optimist gr. B w ramach LOTTO Gdynia Sailing Days </t>
  </si>
  <si>
    <t>Puchar Jeziora Zegrzyńskiego - eliminacja Mistrzostw Polski Młodzików </t>
  </si>
  <si>
    <t>Srebrny Żagiel Optimista </t>
  </si>
  <si>
    <t>Żagle 2026, Mistrzostwa Polskiego Stowarzyszenia Klasy Optimist U 12  | 07 - 09 sie 2026 | Złocieniec</t>
  </si>
  <si>
    <t>Mistrzostwa Polski Młodzików </t>
  </si>
  <si>
    <t>Puchar Żnina  | 05 - 06 wrz 2026 | Małe Jezioro w Żninie</t>
  </si>
  <si>
    <t>KINDER Joy of moving, Puchar Trenerów, eliminacja Mistrzostw Polski Młodzików </t>
  </si>
  <si>
    <t>Srebrny Żagiel Optimista, eliminacja Mistrzostw Polski Młodzików </t>
  </si>
  <si>
    <t>Puchar TKŻ Toruń  | 07 - 08 cze 2025 | Baza TKŻ w Zalesiu - Jezioro Chełmżyńskie</t>
  </si>
  <si>
    <t>X Regaty o Puchar Columba </t>
  </si>
  <si>
    <t>Puchar Żnina  | 06 - 07 wrz 2025 | Małe Jezioro w Żninie</t>
  </si>
  <si>
    <t>41 Regaty Pomarańczowe, Mistrzostwa PSKO U 10 </t>
  </si>
  <si>
    <t>Żagle 2025, Mistrzostwa Polskiego Stowarzyszenia Klasy Optimist U 12  | 08 - 10 sie 2025 | Złocieniec</t>
  </si>
  <si>
    <t>Puchar Żnina  | 31 sie - 01 wrz 2024 | Małe jez. w Żninie</t>
  </si>
  <si>
    <t>XIII Regaty Optysiowe  | 07 - 08 wrz 2024 | Włocławek, Zalew Włocławski, Przystań OSiR ul. Płocka 187 Włocławek</t>
  </si>
  <si>
    <t>IX Regaty o Puchar Columba </t>
  </si>
  <si>
    <t>Puchar TKŻ </t>
  </si>
  <si>
    <t>Regaty o Puchar Kormorana </t>
  </si>
  <si>
    <t>Mistrzostwa PSKO do lat 9 </t>
  </si>
  <si>
    <t>Żagle 2024 XIX Mistrzostwa Polskiego Stowarzyszenia Klasy Optimist do lat 11 </t>
  </si>
  <si>
    <t>Puchar Żnina  | 31 sie - 01 wrz 2023 | Małe jez. w Żninie</t>
  </si>
  <si>
    <t>L. uczestników</t>
  </si>
  <si>
    <t>Normalizacja</t>
  </si>
  <si>
    <t>Data rozpoczęcia</t>
  </si>
  <si>
    <t>Sezon</t>
  </si>
  <si>
    <t>Mistrzostwa PSKO U14 Open </t>
  </si>
  <si>
    <t>Żagle 2023 XXI Ogólnopolskie Regaty o Puchar Ziemi Złocienieckiej  | 10 - 11 cze 2023 | Złocieniec</t>
  </si>
  <si>
    <t>VIII Regaty o Puchar Columba  | 08 - 09 lip 2023 | jez. Deczno, Sulnówko</t>
  </si>
  <si>
    <t>Puchar Safege  | 15 - 16 cze 2023 | Małe jez. w Żninie</t>
  </si>
  <si>
    <t>Puchar Burmistrza Człuchowa  | 27 - 28 maj 2023 | </t>
  </si>
  <si>
    <t>XII Regaty Optysiowe  | 09 - 10 wrz 2023 | Włocławek, Zalew Włocławski, Przystań OSiR ul. Płocka 187 Włocławek</t>
  </si>
  <si>
    <t>Żagle 2023 XVII Mistrzostwa Polskiego Stowarzyszenia Klasy Optimist do lat 11 </t>
  </si>
  <si>
    <t>MMM - POM, KUJ-POM </t>
  </si>
  <si>
    <t>Puchar Żnina  | 03 - 04 wrz 2022 | Małe jez. w Żninie</t>
  </si>
  <si>
    <t>Puchar TKŻ  | 21 - 22 maj 2022 | Baza TKŻ w Zalesiu - Jezioro Chełmżyńskie</t>
  </si>
  <si>
    <t>Puchar Safege  | 11 - 12 cze 2022 | Małe jez. w Żninie</t>
  </si>
  <si>
    <t>MMM - POM i KUJ-POM </t>
  </si>
  <si>
    <t>Puchar Safege  | 26 - 27 cze 2021 | Małe jez. w Żninie</t>
  </si>
  <si>
    <t>Puchar Żnina  | 04 - 05 wrz 2021 | Małe jez. w Żninie</t>
  </si>
  <si>
    <t>Puchar TKŻ  | 22 - 23 maj 2021 | Baza TKŻ w Zalesiu - Jezioro Chełmżyńskie</t>
  </si>
  <si>
    <t>Puchar Burmistrza, Regaty Św. Wawrzyńca  | 21 - 22 sie 2021 | Sępólno Krajeńskie</t>
  </si>
  <si>
    <t>VI Regaty o Puchar Columba  | 10 - 11 lip 2021 | jez. Deczno, Sulnówko</t>
  </si>
  <si>
    <t>normalizacja</t>
  </si>
  <si>
    <t>Puchar Mazur, Mistrzostwa Polski Młodzików | 27 - 30 sie 2025 | Giżycko</t>
  </si>
  <si>
    <t>10 Bałtycki Puchar Klas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</si>
</sst>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charset val="238"/>
      <scheme val="minor"/>
    </font>
    <font>
      <sz val="13"/>
      <color rgb="FF181C32"/>
      <name val="Helvetica"/>
      <family val="2"/>
    </font>
    <font>
      <sz val="13"/>
      <color rgb="FF3F4254"/>
      <name val="Helvetica"/>
      <family val="2"/>
    </font>
    <font>
      <sz val="13"/>
      <color rgb="FFFFFFFF"/>
      <name val="Helvetica"/>
      <family val="2"/>
    </font>
    <font>
      <u/>
      <sz val="12"/>
      <color theme="10"/>
      <name val="Aptos Narrow"/>
      <family val="2"/>
      <charset val="238"/>
      <scheme val="minor"/>
    </font>
    <font>
      <sz val="13"/>
      <color rgb="FF181C32"/>
      <name val="Helvetica"/>
      <family val="2"/>
    </font>
    <font>
      <sz val="13"/>
      <color rgb="FF3F4254"/>
      <name val="Helvetica"/>
      <family val="2"/>
    </font>
    <font>
      <sz val="13"/>
      <color rgb="FFFFFFFF"/>
      <name val="Helvetica"/>
      <family val="2"/>
    </font>
    <font>
      <sz val="13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 applyAlignment="1">
      <alignment horizontal="left" wrapText="1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4" fillId="0" borderId="0" xfId="1"/>
    <xf numFmtId="0" fontId="7" fillId="0" borderId="0" xfId="0" applyFont="1"/>
    <xf numFmtId="0" fontId="4" fillId="0" borderId="0" xfId="1" applyAlignment="1">
      <alignment wrapText="1"/>
    </xf>
    <xf numFmtId="0" fontId="6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5" fillId="2" borderId="1" xfId="0" applyFont="1" applyFill="1" applyBorder="1"/>
  </cellXfs>
  <cellStyles count="2">
    <cellStyle name="Hiperłącze" xfId="1" builtinId="8"/>
    <cellStyle name="Normalny" xfId="0" builtinId="0"/>
  </cellStyles>
  <dxfs count="17"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3F4254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3F4254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3F4254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3F4254"/>
        <name val="Helvetica"/>
        <family val="2"/>
        <scheme val="none"/>
      </font>
      <numFmt numFmtId="19" formatCode="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81C32"/>
        <name val="Helvetica"/>
        <family val="2"/>
        <scheme val="none"/>
      </font>
    </dxf>
    <dxf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3F4254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3F4254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3F4254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3F4254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81C32"/>
        <name val="Helvetica"/>
        <family val="2"/>
        <scheme val="none"/>
      </font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3F4254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3F4254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3F4254"/>
        <name val="Helvetic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3F4254"/>
        <name val="Helvetica"/>
        <family val="2"/>
        <scheme val="none"/>
      </font>
      <numFmt numFmtId="19" formatCode="d/mm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B21AE2-C426-9747-9257-0814E9080719}" name="Tabela1" displayName="Tabela1" ref="A1:E29" totalsRowShown="0" headerRowDxfId="11">
  <autoFilter ref="A1:E29" xr:uid="{CFB21AE2-C426-9747-9257-0814E9080719}"/>
  <sortState xmlns:xlrd2="http://schemas.microsoft.com/office/spreadsheetml/2017/richdata2" ref="A2:E29">
    <sortCondition ref="A1:A29"/>
  </sortState>
  <tableColumns count="5">
    <tableColumn id="1" xr3:uid="{956B7CC9-9152-A048-8B12-BCB6991D9AAA}" name="Data rozpoczęcia" dataDxfId="10"/>
    <tableColumn id="2" xr3:uid="{AC41BCE8-5552-2B43-B1CF-B9305E3E7BE6}" name="Mc" dataDxfId="9"/>
    <tableColumn id="3" xr3:uid="{39408C63-1019-3046-8C62-0A298F181A8A}" name="L. uczestników" dataDxfId="8"/>
    <tableColumn id="4" xr3:uid="{43BBAFEF-D7D9-2F48-8318-7DBE2A7B7862}" name="Normalizacja" dataDxfId="7"/>
    <tableColumn id="5" xr3:uid="{B9192BB7-8EBE-AA41-8653-42F92ED5BD64}" name="Nazwa regat" dataDxfId="6" dataCellStyle="Hiperłącz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144380-6137-2144-A037-93D272C56562}" name="Tabela2" displayName="Tabela2" ref="A1:E47" totalsRowShown="0" headerRowDxfId="5">
  <autoFilter ref="A1:E47" xr:uid="{B1144380-6137-2144-A037-93D272C56562}"/>
  <sortState xmlns:xlrd2="http://schemas.microsoft.com/office/spreadsheetml/2017/richdata2" ref="A2:E47">
    <sortCondition ref="A1:A47"/>
  </sortState>
  <tableColumns count="5">
    <tableColumn id="1" xr3:uid="{07E02266-9FCA-1C41-8ABF-B8F7F6DE5A15}" name="Data rozpoczęcia" dataDxfId="4"/>
    <tableColumn id="2" xr3:uid="{0A432EEA-7C25-D44D-80AC-96A29CE8939E}" name="Mc" dataDxfId="3"/>
    <tableColumn id="3" xr3:uid="{09460BCC-0A03-0B4B-9B30-CD1819313075}" name="L. uczestników" dataDxfId="2"/>
    <tableColumn id="4" xr3:uid="{09664402-41A6-4A46-958B-5B7C3E90FFB4}" name="normalizacja" dataDxfId="1">
      <calculatedColumnFormula>1-B2/C2</calculatedColumnFormula>
    </tableColumn>
    <tableColumn id="5" xr3:uid="{4B968B31-EB32-8442-9C4B-7C831482B77B}" name="Nazwa regat" dataDxfId="0" dataCellStyle="Hiperłącz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8EBBBE-F867-9C46-9DF4-A432A2A7C2A1}" name="Tabela3" displayName="Tabela3" ref="A1:E35" totalsRowShown="0">
  <autoFilter ref="A1:E35" xr:uid="{1B8EBBBE-F867-9C46-9DF4-A432A2A7C2A1}"/>
  <tableColumns count="5">
    <tableColumn id="1" xr3:uid="{8079B05C-AB9B-4C4D-8237-18BB3176B24A}" name="Sezon" dataDxfId="16"/>
    <tableColumn id="2" xr3:uid="{BF1B558A-80E6-A54E-8677-8E6981E8FDC8}" name="Mc" dataDxfId="15"/>
    <tableColumn id="3" xr3:uid="{4AB3F412-CE48-6845-B58B-E59529C664C6}" name="L. uczestników" dataDxfId="14"/>
    <tableColumn id="4" xr3:uid="{057D4DC5-E90A-EF45-8EFB-40A6D7149979}" name="normalizacja" dataDxfId="13">
      <calculatedColumnFormula>1-B2/C2</calculatedColumnFormula>
    </tableColumn>
    <tableColumn id="5" xr3:uid="{D302BD72-198A-D042-A525-74F7CE88B9A3}" name="Nazwa regat" dataDxfId="12" dataCellStyle="Hiperłącz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ortal2.psko.pl/regaty/srebrny-zagiel-optimista-2026" TargetMode="External"/><Relationship Id="rId13" Type="http://schemas.openxmlformats.org/officeDocument/2006/relationships/hyperlink" Target="https://portal2.psko.pl/regaty/srebrny-zagiel-optimista,-eliminacja-mistrzostw-polski-mlodzikow-2025" TargetMode="External"/><Relationship Id="rId18" Type="http://schemas.openxmlformats.org/officeDocument/2006/relationships/hyperlink" Target="https://portal2.psko.pl/regaty/41-regaty-pomaranczowe,-mistrzostwa-psko-u-10-2025" TargetMode="External"/><Relationship Id="rId26" Type="http://schemas.openxmlformats.org/officeDocument/2006/relationships/hyperlink" Target="https://portal2.psko.pl/regaty/mistrzostwa-psko-do-lat-9-2024" TargetMode="External"/><Relationship Id="rId3" Type="http://schemas.openxmlformats.org/officeDocument/2006/relationships/hyperlink" Target="https://portal2.psko.pl/regaty/puchar-tkz-torun-2026" TargetMode="External"/><Relationship Id="rId21" Type="http://schemas.openxmlformats.org/officeDocument/2006/relationships/hyperlink" Target="https://portal2.psko.pl/regaty/xiii-regaty-optysiowe-2024" TargetMode="External"/><Relationship Id="rId7" Type="http://schemas.openxmlformats.org/officeDocument/2006/relationships/hyperlink" Target="https://portal2.psko.pl/regaty/puchar-jeziora-zegrzynskiego-eliminacja-mistrzostw-polski-mlodzikow-2026" TargetMode="External"/><Relationship Id="rId12" Type="http://schemas.openxmlformats.org/officeDocument/2006/relationships/hyperlink" Target="https://portal2.psko.pl/regaty/kinder-joy-of-moving,--puchar-trenerow,-eliminacja-mistrzostw-polski-mlodzikow-2025" TargetMode="External"/><Relationship Id="rId17" Type="http://schemas.openxmlformats.org/officeDocument/2006/relationships/hyperlink" Target="https://portal2.psko.pl/regaty/puchar-znina-2025" TargetMode="External"/><Relationship Id="rId25" Type="http://schemas.openxmlformats.org/officeDocument/2006/relationships/hyperlink" Target="https://portal2.psko.pl/regaty/regaty-o-puchar-kormorana-2024" TargetMode="External"/><Relationship Id="rId2" Type="http://schemas.openxmlformats.org/officeDocument/2006/relationships/hyperlink" Target="https://portal2.psko.pl/regaty/puchar-safege-2026" TargetMode="External"/><Relationship Id="rId16" Type="http://schemas.openxmlformats.org/officeDocument/2006/relationships/hyperlink" Target="https://portal2.psko.pl/regaty/puchar-safege-2025" TargetMode="External"/><Relationship Id="rId20" Type="http://schemas.openxmlformats.org/officeDocument/2006/relationships/hyperlink" Target="https://portal2.psko.pl/regaty/puchar-znina-2024" TargetMode="External"/><Relationship Id="rId29" Type="http://schemas.openxmlformats.org/officeDocument/2006/relationships/table" Target="../tables/table1.xml"/><Relationship Id="rId1" Type="http://schemas.openxmlformats.org/officeDocument/2006/relationships/hyperlink" Target="https://portal2.psko.pl/regaty/puchar-ks-zatoka-puck---opp-b-2026" TargetMode="External"/><Relationship Id="rId6" Type="http://schemas.openxmlformats.org/officeDocument/2006/relationships/hyperlink" Target="https://portal2.psko.pl/regaty/puchar-trenerow-klasy-optimist-gr-b-w-ramach-lotto-gdynia-sailing-days-2026" TargetMode="External"/><Relationship Id="rId11" Type="http://schemas.openxmlformats.org/officeDocument/2006/relationships/hyperlink" Target="https://portal2.psko.pl/regaty/puchar-znina-2026" TargetMode="External"/><Relationship Id="rId24" Type="http://schemas.openxmlformats.org/officeDocument/2006/relationships/hyperlink" Target="https://portal2.psko.pl/regaty/puchar-safege-2024" TargetMode="External"/><Relationship Id="rId5" Type="http://schemas.openxmlformats.org/officeDocument/2006/relationships/hyperlink" Target="https://portal2.psko.pl/regaty/mistrzostwa-psko-u10-2026" TargetMode="External"/><Relationship Id="rId15" Type="http://schemas.openxmlformats.org/officeDocument/2006/relationships/hyperlink" Target="https://portal2.psko.pl/regaty/x-regaty-o-puchar-columba-2025" TargetMode="External"/><Relationship Id="rId23" Type="http://schemas.openxmlformats.org/officeDocument/2006/relationships/hyperlink" Target="https://portal2.psko.pl/regaty/puchar-tkz-2024" TargetMode="External"/><Relationship Id="rId28" Type="http://schemas.openxmlformats.org/officeDocument/2006/relationships/hyperlink" Target="https://portal2.psko.pl/regaty/puchar-znina-2023" TargetMode="External"/><Relationship Id="rId10" Type="http://schemas.openxmlformats.org/officeDocument/2006/relationships/hyperlink" Target="https://portal2.psko.pl/regaty/mistrzostwa-polski-mlodzikow-2026" TargetMode="External"/><Relationship Id="rId19" Type="http://schemas.openxmlformats.org/officeDocument/2006/relationships/hyperlink" Target="https://portal2.psko.pl/regaty/zagle-2025,-mistrzostwa-polskiego-stowarzyszenia-klasy-optimist-u-12-2025" TargetMode="External"/><Relationship Id="rId4" Type="http://schemas.openxmlformats.org/officeDocument/2006/relationships/hyperlink" Target="https://portal2.psko.pl/regaty/42-regaty-pomaranczowe-eliminacja-mpm-2026" TargetMode="External"/><Relationship Id="rId9" Type="http://schemas.openxmlformats.org/officeDocument/2006/relationships/hyperlink" Target="https://portal2.psko.pl/regaty/zagle-2026-mistrzostwa-polskiego-stowarzyszenia-klasy-optimist-u-12-2026" TargetMode="External"/><Relationship Id="rId14" Type="http://schemas.openxmlformats.org/officeDocument/2006/relationships/hyperlink" Target="https://portal2.psko.pl/regaty/puchar-tkz-torun-2025" TargetMode="External"/><Relationship Id="rId22" Type="http://schemas.openxmlformats.org/officeDocument/2006/relationships/hyperlink" Target="https://portal2.psko.pl/regaty/ix-regaty-o-puchar-columba-2024" TargetMode="External"/><Relationship Id="rId27" Type="http://schemas.openxmlformats.org/officeDocument/2006/relationships/hyperlink" Target="https://portal2.psko.pl/regaty/zagle-2024-xix-mistrzostwa-polskiego-stowarzyszenia-klasy-optimist-do-lat-11-2024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portal2.psko.pl/regaty/puchar-tkz-torun-2025" TargetMode="External"/><Relationship Id="rId18" Type="http://schemas.openxmlformats.org/officeDocument/2006/relationships/hyperlink" Target="https://portal2.psko.pl/regaty/zagle-2025,-mistrzostwa-polskiego-stowarzyszenia-klasy-optimist-u-12-2025" TargetMode="External"/><Relationship Id="rId26" Type="http://schemas.openxmlformats.org/officeDocument/2006/relationships/hyperlink" Target="https://portal2.psko.pl/regaty/zagle-2023-xxi-ogolnopolskie-regaty-o-puchar-ziemi-zlocienieckiej-2023" TargetMode="External"/><Relationship Id="rId39" Type="http://schemas.openxmlformats.org/officeDocument/2006/relationships/hyperlink" Target="https://portal2.psko.pl/regaty/mistrzostwa-psko-do-lat-9-2022" TargetMode="External"/><Relationship Id="rId21" Type="http://schemas.openxmlformats.org/officeDocument/2006/relationships/hyperlink" Target="https://portal2.psko.pl/regaty/regaty-o-puchar-kormorana-2024" TargetMode="External"/><Relationship Id="rId34" Type="http://schemas.openxmlformats.org/officeDocument/2006/relationships/hyperlink" Target="https://portal2.psko.pl/regaty/mistrzostwa-psko-do-lat-9-2023" TargetMode="External"/><Relationship Id="rId42" Type="http://schemas.openxmlformats.org/officeDocument/2006/relationships/hyperlink" Target="https://portal2.psko.pl/regaty/puchar-znina-2021" TargetMode="External"/><Relationship Id="rId47" Type="http://schemas.openxmlformats.org/officeDocument/2006/relationships/table" Target="../tables/table2.xml"/><Relationship Id="rId7" Type="http://schemas.openxmlformats.org/officeDocument/2006/relationships/hyperlink" Target="https://portal2.psko.pl/regaty/srebrny-zagiel-optimista-2026" TargetMode="External"/><Relationship Id="rId2" Type="http://schemas.openxmlformats.org/officeDocument/2006/relationships/hyperlink" Target="https://portal2.psko.pl/regaty/puchar-safege-2026" TargetMode="External"/><Relationship Id="rId16" Type="http://schemas.openxmlformats.org/officeDocument/2006/relationships/hyperlink" Target="https://portal2.psko.pl/regaty/puchar-znina-2025" TargetMode="External"/><Relationship Id="rId29" Type="http://schemas.openxmlformats.org/officeDocument/2006/relationships/hyperlink" Target="https://portal2.psko.pl/regaty/viii-regaty-o-puchar-columba-2023" TargetMode="External"/><Relationship Id="rId1" Type="http://schemas.openxmlformats.org/officeDocument/2006/relationships/hyperlink" Target="https://portal2.psko.pl/regaty/puchar-ks-zatoka-puck---opp-b-2026" TargetMode="External"/><Relationship Id="rId6" Type="http://schemas.openxmlformats.org/officeDocument/2006/relationships/hyperlink" Target="https://portal2.psko.pl/regaty/puchar-jeziora-zegrzynskiego-eliminacja-mistrzostw-polski-mlodzikow-2026" TargetMode="External"/><Relationship Id="rId11" Type="http://schemas.openxmlformats.org/officeDocument/2006/relationships/hyperlink" Target="https://portal2.psko.pl/regaty/kinder-joy-of-moving,--puchar-trenerow,-eliminacja-mistrzostw-polski-mlodzikow-2025" TargetMode="External"/><Relationship Id="rId24" Type="http://schemas.openxmlformats.org/officeDocument/2006/relationships/hyperlink" Target="https://portal2.psko.pl/regaty/puchar-safege-2024" TargetMode="External"/><Relationship Id="rId32" Type="http://schemas.openxmlformats.org/officeDocument/2006/relationships/hyperlink" Target="https://portal2.psko.pl/regaty/xii-regaty-optysiowe-2023" TargetMode="External"/><Relationship Id="rId37" Type="http://schemas.openxmlformats.org/officeDocument/2006/relationships/hyperlink" Target="https://portal2.psko.pl/regaty/puchar-tkz-2022" TargetMode="External"/><Relationship Id="rId40" Type="http://schemas.openxmlformats.org/officeDocument/2006/relationships/hyperlink" Target="https://portal2.psko.pl/regaty/mmm---pom-i-kuj-pom-2022" TargetMode="External"/><Relationship Id="rId45" Type="http://schemas.openxmlformats.org/officeDocument/2006/relationships/hyperlink" Target="https://portal2.psko.pl/regaty/puchar-burmistrza-regaty-sw-wawrzynca-2021" TargetMode="External"/><Relationship Id="rId5" Type="http://schemas.openxmlformats.org/officeDocument/2006/relationships/hyperlink" Target="https://portal2.psko.pl/regaty/puchar-trenerow-klasy-optimist-gr-b-w-ramach-lotto-gdynia-sailing-days-2026" TargetMode="External"/><Relationship Id="rId15" Type="http://schemas.openxmlformats.org/officeDocument/2006/relationships/hyperlink" Target="https://portal2.psko.pl/regaty/x-regaty-o-puchar-columba-2025" TargetMode="External"/><Relationship Id="rId23" Type="http://schemas.openxmlformats.org/officeDocument/2006/relationships/hyperlink" Target="https://portal2.psko.pl/regaty/xiii-regaty-optysiowe-2024" TargetMode="External"/><Relationship Id="rId28" Type="http://schemas.openxmlformats.org/officeDocument/2006/relationships/hyperlink" Target="https://portal2.psko.pl/regaty/puchar-tkz-2023" TargetMode="External"/><Relationship Id="rId36" Type="http://schemas.openxmlformats.org/officeDocument/2006/relationships/hyperlink" Target="https://portal2.psko.pl/regaty/puchar-znina-2022" TargetMode="External"/><Relationship Id="rId10" Type="http://schemas.openxmlformats.org/officeDocument/2006/relationships/hyperlink" Target="https://portal2.psko.pl/regaty/puchar-znina-2026" TargetMode="External"/><Relationship Id="rId19" Type="http://schemas.openxmlformats.org/officeDocument/2006/relationships/hyperlink" Target="https://portal2.psko.pl/regaty/puchar-tkz-2024" TargetMode="External"/><Relationship Id="rId31" Type="http://schemas.openxmlformats.org/officeDocument/2006/relationships/hyperlink" Target="https://portal2.psko.pl/regaty/-puchar-burmistrza-czluchowa-2023" TargetMode="External"/><Relationship Id="rId44" Type="http://schemas.openxmlformats.org/officeDocument/2006/relationships/hyperlink" Target="https://portal2.psko.pl/regaty/puchar-znina-2021" TargetMode="External"/><Relationship Id="rId4" Type="http://schemas.openxmlformats.org/officeDocument/2006/relationships/hyperlink" Target="https://portal2.psko.pl/regaty/42-regaty-pomaranczowe-eliminacja-mpm-2026" TargetMode="External"/><Relationship Id="rId9" Type="http://schemas.openxmlformats.org/officeDocument/2006/relationships/hyperlink" Target="https://portal2.psko.pl/regaty/mistrzostwa-polski-mlodzikow-2026" TargetMode="External"/><Relationship Id="rId14" Type="http://schemas.openxmlformats.org/officeDocument/2006/relationships/hyperlink" Target="https://portal2.psko.pl/regaty/puchar-safege-2025" TargetMode="External"/><Relationship Id="rId22" Type="http://schemas.openxmlformats.org/officeDocument/2006/relationships/hyperlink" Target="https://portal2.psko.pl/regaty/ix-regaty-o-puchar-columba-2024" TargetMode="External"/><Relationship Id="rId27" Type="http://schemas.openxmlformats.org/officeDocument/2006/relationships/hyperlink" Target="https://portal2.psko.pl/regaty/puchar-znina-2023" TargetMode="External"/><Relationship Id="rId30" Type="http://schemas.openxmlformats.org/officeDocument/2006/relationships/hyperlink" Target="https://portal2.psko.pl/regaty/puchar-safege-2023" TargetMode="External"/><Relationship Id="rId35" Type="http://schemas.openxmlformats.org/officeDocument/2006/relationships/hyperlink" Target="https://portal2.psko.pl/regaty/mmm---pom,-kuj-pom-2023" TargetMode="External"/><Relationship Id="rId43" Type="http://schemas.openxmlformats.org/officeDocument/2006/relationships/hyperlink" Target="https://portal2.psko.pl/regaty/puchar-tkz-2021" TargetMode="External"/><Relationship Id="rId8" Type="http://schemas.openxmlformats.org/officeDocument/2006/relationships/hyperlink" Target="https://portal2.psko.pl/regaty/regaty-o-puchar-kormorana-2026" TargetMode="External"/><Relationship Id="rId3" Type="http://schemas.openxmlformats.org/officeDocument/2006/relationships/hyperlink" Target="https://portal2.psko.pl/regaty/puchar-tkz-torun-2026" TargetMode="External"/><Relationship Id="rId12" Type="http://schemas.openxmlformats.org/officeDocument/2006/relationships/hyperlink" Target="https://portal2.psko.pl/regaty/srebrny-zagiel-optimista,-eliminacja-mistrzostw-polski-mlodzikow-2025" TargetMode="External"/><Relationship Id="rId17" Type="http://schemas.openxmlformats.org/officeDocument/2006/relationships/hyperlink" Target="https://portal2.psko.pl/regaty/mistrzostwa-psko-u14-open-2025" TargetMode="External"/><Relationship Id="rId25" Type="http://schemas.openxmlformats.org/officeDocument/2006/relationships/hyperlink" Target="https://portal2.psko.pl/regaty/zagle-2024-xix-mistrzostwa-polskiego-stowarzyszenia-klasy-optimist-do-lat-11-2024" TargetMode="External"/><Relationship Id="rId33" Type="http://schemas.openxmlformats.org/officeDocument/2006/relationships/hyperlink" Target="https://portal2.psko.pl/regaty/zagle-2023-xvii-mistrzostwa-polskiego-stowarzyszenia-klasy-optimist-do-lat-11-2023" TargetMode="External"/><Relationship Id="rId38" Type="http://schemas.openxmlformats.org/officeDocument/2006/relationships/hyperlink" Target="https://portal2.psko.pl/regaty/puchar-safege-2022" TargetMode="External"/><Relationship Id="rId46" Type="http://schemas.openxmlformats.org/officeDocument/2006/relationships/hyperlink" Target="https://portal2.psko.pl/regaty/vi-regaty-o-puchar-columba-2021" TargetMode="External"/><Relationship Id="rId20" Type="http://schemas.openxmlformats.org/officeDocument/2006/relationships/hyperlink" Target="https://portal2.psko.pl/regaty/puchar-znina-2024" TargetMode="External"/><Relationship Id="rId41" Type="http://schemas.openxmlformats.org/officeDocument/2006/relationships/hyperlink" Target="https://portal2.psko.pl/regaty/puchar-safege-2021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portal2.psko.pl/regaty/zagle-2025,-mistrzostwa-polskiego-stowarzyszenia-klasy-optimist-u-12-2025" TargetMode="External"/><Relationship Id="rId18" Type="http://schemas.openxmlformats.org/officeDocument/2006/relationships/hyperlink" Target="https://portal2.psko.pl/regaty/xiii-regaty-optysiowe-2024" TargetMode="External"/><Relationship Id="rId26" Type="http://schemas.openxmlformats.org/officeDocument/2006/relationships/hyperlink" Target="https://portal2.psko.pl/regaty/xii-regaty-optysiowe-2023" TargetMode="External"/><Relationship Id="rId3" Type="http://schemas.openxmlformats.org/officeDocument/2006/relationships/hyperlink" Target="https://portal2.psko.pl/regaty/puchar-tkz-torun-2026" TargetMode="External"/><Relationship Id="rId21" Type="http://schemas.openxmlformats.org/officeDocument/2006/relationships/hyperlink" Target="https://portal2.psko.pl/regaty/zagle-2024-xix-mistrzostwa-polskiego-stowarzyszenia-klasy-optimist-do-lat-11-2024" TargetMode="External"/><Relationship Id="rId34" Type="http://schemas.openxmlformats.org/officeDocument/2006/relationships/hyperlink" Target="https://portal2.psko.pl/regaty/puchar-mazur,-mistrzostwa-polski-mlodzikow-2025" TargetMode="External"/><Relationship Id="rId7" Type="http://schemas.openxmlformats.org/officeDocument/2006/relationships/hyperlink" Target="https://portal2.psko.pl/regaty/mistrzostwa-polski-mlodzikow-2026" TargetMode="External"/><Relationship Id="rId12" Type="http://schemas.openxmlformats.org/officeDocument/2006/relationships/hyperlink" Target="https://portal2.psko.pl/regaty/puchar-safege-2025" TargetMode="External"/><Relationship Id="rId17" Type="http://schemas.openxmlformats.org/officeDocument/2006/relationships/hyperlink" Target="https://portal2.psko.pl/regaty/regaty-o-puchar-kormorana-2024" TargetMode="External"/><Relationship Id="rId25" Type="http://schemas.openxmlformats.org/officeDocument/2006/relationships/hyperlink" Target="https://portal2.psko.pl/regaty/-puchar-burmistrza-czluchowa-2023" TargetMode="External"/><Relationship Id="rId33" Type="http://schemas.openxmlformats.org/officeDocument/2006/relationships/hyperlink" Target="https://portal2.psko.pl/regaty/mmm---pom-i-kuj-pom-2022" TargetMode="External"/><Relationship Id="rId2" Type="http://schemas.openxmlformats.org/officeDocument/2006/relationships/hyperlink" Target="https://portal2.psko.pl/regaty/puchar-safege-2026" TargetMode="External"/><Relationship Id="rId16" Type="http://schemas.openxmlformats.org/officeDocument/2006/relationships/hyperlink" Target="https://portal2.psko.pl/regaty/ix-regaty-o-puchar-columba-2024" TargetMode="External"/><Relationship Id="rId20" Type="http://schemas.openxmlformats.org/officeDocument/2006/relationships/hyperlink" Target="https://portal2.psko.pl/regaty/10-baltycki-puchar-klas-2024" TargetMode="External"/><Relationship Id="rId29" Type="http://schemas.openxmlformats.org/officeDocument/2006/relationships/hyperlink" Target="https://portal2.psko.pl/regaty/mistrzostwa-psko-do-lat-9-2023" TargetMode="External"/><Relationship Id="rId1" Type="http://schemas.openxmlformats.org/officeDocument/2006/relationships/hyperlink" Target="https://portal2.psko.pl/regaty/puchar-ks-zatoka-puck---opp-b-2026" TargetMode="External"/><Relationship Id="rId6" Type="http://schemas.openxmlformats.org/officeDocument/2006/relationships/hyperlink" Target="https://portal2.psko.pl/regaty/puchar-jeziora-zegrzynskiego-eliminacja-mistrzostw-polski-mlodzikow-2026" TargetMode="External"/><Relationship Id="rId11" Type="http://schemas.openxmlformats.org/officeDocument/2006/relationships/hyperlink" Target="https://portal2.psko.pl/regaty/puchar-tkz-torun-2025" TargetMode="External"/><Relationship Id="rId24" Type="http://schemas.openxmlformats.org/officeDocument/2006/relationships/hyperlink" Target="https://portal2.psko.pl/regaty/viii-regaty-o-puchar-columba-2023" TargetMode="External"/><Relationship Id="rId32" Type="http://schemas.openxmlformats.org/officeDocument/2006/relationships/hyperlink" Target="https://portal2.psko.pl/regaty/puchar-safege-2022" TargetMode="External"/><Relationship Id="rId5" Type="http://schemas.openxmlformats.org/officeDocument/2006/relationships/hyperlink" Target="https://portal2.psko.pl/regaty/puchar-trenerow-klasy-optimist-gr-b-w-ramach-lotto-gdynia-sailing-days-2026" TargetMode="External"/><Relationship Id="rId15" Type="http://schemas.openxmlformats.org/officeDocument/2006/relationships/hyperlink" Target="https://portal2.psko.pl/regaty/puchar-znina-2024" TargetMode="External"/><Relationship Id="rId23" Type="http://schemas.openxmlformats.org/officeDocument/2006/relationships/hyperlink" Target="https://portal2.psko.pl/regaty/zagle-2023-xxi-ogolnopolskie-regaty-o-puchar-ziemi-zlocienieckiej-2023" TargetMode="External"/><Relationship Id="rId28" Type="http://schemas.openxmlformats.org/officeDocument/2006/relationships/hyperlink" Target="https://portal2.psko.pl/regaty/zagle-2023-xvii-mistrzostwa-polskiego-stowarzyszenia-klasy-optimist-do-lat-11-2023" TargetMode="External"/><Relationship Id="rId10" Type="http://schemas.openxmlformats.org/officeDocument/2006/relationships/hyperlink" Target="https://portal2.psko.pl/regaty/srebrny-zagiel-optimista,-eliminacja-mistrzostw-polski-mlodzikow-2025" TargetMode="External"/><Relationship Id="rId19" Type="http://schemas.openxmlformats.org/officeDocument/2006/relationships/hyperlink" Target="https://portal2.psko.pl/regaty/puchar-safege-2024" TargetMode="External"/><Relationship Id="rId31" Type="http://schemas.openxmlformats.org/officeDocument/2006/relationships/hyperlink" Target="https://portal2.psko.pl/regaty/puchar-znina-2022" TargetMode="External"/><Relationship Id="rId4" Type="http://schemas.openxmlformats.org/officeDocument/2006/relationships/hyperlink" Target="https://portal2.psko.pl/regaty/42-regaty-pomaranczowe-eliminacja-mpm-2026" TargetMode="External"/><Relationship Id="rId9" Type="http://schemas.openxmlformats.org/officeDocument/2006/relationships/hyperlink" Target="https://portal2.psko.pl/regaty/kinder-joy-of-moving,--puchar-trenerow,-eliminacja-mistrzostw-polski-mlodzikow-2025" TargetMode="External"/><Relationship Id="rId14" Type="http://schemas.openxmlformats.org/officeDocument/2006/relationships/hyperlink" Target="https://portal2.psko.pl/regaty/puchar-tkz-2024" TargetMode="External"/><Relationship Id="rId22" Type="http://schemas.openxmlformats.org/officeDocument/2006/relationships/hyperlink" Target="https://portal2.psko.pl/regaty/puchar-znina-2023" TargetMode="External"/><Relationship Id="rId27" Type="http://schemas.openxmlformats.org/officeDocument/2006/relationships/hyperlink" Target="https://portal2.psko.pl/regaty/puchar-safege-2023" TargetMode="External"/><Relationship Id="rId30" Type="http://schemas.openxmlformats.org/officeDocument/2006/relationships/hyperlink" Target="https://portal2.psko.pl/regaty/mmm---pom,-kuj-pom-2023" TargetMode="External"/><Relationship Id="rId35" Type="http://schemas.openxmlformats.org/officeDocument/2006/relationships/table" Target="../tables/table3.xml"/><Relationship Id="rId8" Type="http://schemas.openxmlformats.org/officeDocument/2006/relationships/hyperlink" Target="https://portal2.psko.pl/regaty/puchar-znina-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8C341-A5F9-3B46-8B8C-45F175BAE60A}">
  <dimension ref="A1:E31"/>
  <sheetViews>
    <sheetView workbookViewId="0">
      <selection activeCell="A36" sqref="A36"/>
    </sheetView>
  </sheetViews>
  <sheetFormatPr baseColWidth="10" defaultRowHeight="16" x14ac:dyDescent="0.2"/>
  <cols>
    <col min="1" max="1" width="21.1640625" customWidth="1"/>
    <col min="3" max="3" width="19" customWidth="1"/>
    <col min="4" max="4" width="17" customWidth="1"/>
    <col min="5" max="5" width="27.6640625" customWidth="1"/>
  </cols>
  <sheetData>
    <row r="1" spans="1:5" ht="17" x14ac:dyDescent="0.2">
      <c r="A1" s="1" t="s">
        <v>30</v>
      </c>
      <c r="B1" s="1" t="s">
        <v>0</v>
      </c>
      <c r="C1" s="1" t="s">
        <v>28</v>
      </c>
      <c r="D1" s="1" t="s">
        <v>29</v>
      </c>
      <c r="E1" s="1" t="s">
        <v>1</v>
      </c>
    </row>
    <row r="2" spans="1:5" ht="34" x14ac:dyDescent="0.2">
      <c r="A2" s="5">
        <v>45169</v>
      </c>
      <c r="B2" s="6">
        <v>40</v>
      </c>
      <c r="C2" s="6">
        <v>44</v>
      </c>
      <c r="D2" s="6">
        <f t="shared" ref="D2:D8" si="0">1-B2/C2</f>
        <v>9.0909090909090939E-2</v>
      </c>
      <c r="E2" s="4" t="s">
        <v>27</v>
      </c>
    </row>
    <row r="3" spans="1:5" ht="17" x14ac:dyDescent="0.2">
      <c r="A3" s="5">
        <v>45450</v>
      </c>
      <c r="B3" s="6">
        <v>48</v>
      </c>
      <c r="C3" s="6">
        <v>65</v>
      </c>
      <c r="D3" s="6">
        <f t="shared" si="0"/>
        <v>0.2615384615384615</v>
      </c>
      <c r="E3" s="4" t="s">
        <v>23</v>
      </c>
    </row>
    <row r="4" spans="1:5" ht="17" x14ac:dyDescent="0.2">
      <c r="A4" s="5">
        <v>45458</v>
      </c>
      <c r="B4" s="6">
        <v>10</v>
      </c>
      <c r="C4" s="6">
        <v>21</v>
      </c>
      <c r="D4" s="6">
        <f t="shared" si="0"/>
        <v>0.52380952380952384</v>
      </c>
      <c r="E4" s="4" t="s">
        <v>3</v>
      </c>
    </row>
    <row r="5" spans="1:5" ht="17" x14ac:dyDescent="0.2">
      <c r="A5" s="5">
        <v>45465</v>
      </c>
      <c r="B5" s="6">
        <v>27</v>
      </c>
      <c r="C5" s="6">
        <v>33</v>
      </c>
      <c r="D5" s="6">
        <f t="shared" si="0"/>
        <v>0.18181818181818177</v>
      </c>
      <c r="E5" s="4" t="s">
        <v>24</v>
      </c>
    </row>
    <row r="6" spans="1:5" ht="17" x14ac:dyDescent="0.2">
      <c r="A6" s="5">
        <v>45479</v>
      </c>
      <c r="B6" s="6">
        <v>18</v>
      </c>
      <c r="C6" s="6">
        <v>36</v>
      </c>
      <c r="D6" s="6">
        <f t="shared" si="0"/>
        <v>0.5</v>
      </c>
      <c r="E6" s="4" t="s">
        <v>22</v>
      </c>
    </row>
    <row r="7" spans="1:5" ht="17" x14ac:dyDescent="0.2">
      <c r="A7" s="5">
        <v>45492</v>
      </c>
      <c r="B7" s="6">
        <v>12</v>
      </c>
      <c r="C7" s="6">
        <v>35</v>
      </c>
      <c r="D7" s="6">
        <f t="shared" si="0"/>
        <v>0.65714285714285714</v>
      </c>
      <c r="E7" s="4" t="s">
        <v>25</v>
      </c>
    </row>
    <row r="8" spans="1:5" ht="51" x14ac:dyDescent="0.2">
      <c r="A8" s="5">
        <v>45513</v>
      </c>
      <c r="B8" s="6">
        <v>75</v>
      </c>
      <c r="C8" s="6">
        <v>106</v>
      </c>
      <c r="D8" s="6">
        <f t="shared" si="0"/>
        <v>0.29245283018867929</v>
      </c>
      <c r="E8" s="4" t="s">
        <v>26</v>
      </c>
    </row>
    <row r="9" spans="1:5" ht="34" x14ac:dyDescent="0.2">
      <c r="A9" s="5">
        <v>45535</v>
      </c>
      <c r="B9" s="6">
        <v>7</v>
      </c>
      <c r="C9" s="6">
        <v>46</v>
      </c>
      <c r="D9" s="6">
        <f>1-(B9/C9)</f>
        <v>0.84782608695652173</v>
      </c>
      <c r="E9" s="4" t="s">
        <v>20</v>
      </c>
    </row>
    <row r="10" spans="1:5" ht="68" x14ac:dyDescent="0.2">
      <c r="A10" s="5">
        <v>45542</v>
      </c>
      <c r="B10" s="6">
        <v>17</v>
      </c>
      <c r="C10" s="6">
        <v>39</v>
      </c>
      <c r="D10" s="6">
        <f>1-(B10/C10)</f>
        <v>0.5641025641025641</v>
      </c>
      <c r="E10" s="4" t="s">
        <v>21</v>
      </c>
    </row>
    <row r="11" spans="1:5" ht="51" x14ac:dyDescent="0.2">
      <c r="A11" s="5">
        <v>45815</v>
      </c>
      <c r="B11" s="6">
        <v>17</v>
      </c>
      <c r="C11" s="6">
        <v>63</v>
      </c>
      <c r="D11" s="6">
        <f>1-(B11/C11)</f>
        <v>0.73015873015873023</v>
      </c>
      <c r="E11" s="4" t="s">
        <v>15</v>
      </c>
    </row>
    <row r="12" spans="1:5" ht="17" x14ac:dyDescent="0.2">
      <c r="A12" s="5">
        <v>45822</v>
      </c>
      <c r="B12" s="6">
        <v>11</v>
      </c>
      <c r="C12" s="6">
        <v>39</v>
      </c>
      <c r="D12" s="6">
        <f>1-B12/C12</f>
        <v>0.71794871794871795</v>
      </c>
      <c r="E12" s="4" t="s">
        <v>3</v>
      </c>
    </row>
    <row r="13" spans="1:5" ht="34" x14ac:dyDescent="0.2">
      <c r="A13" s="5">
        <v>45836</v>
      </c>
      <c r="B13" s="6">
        <v>5</v>
      </c>
      <c r="C13" s="6">
        <v>38</v>
      </c>
      <c r="D13" s="6">
        <f>1-B13/C13</f>
        <v>0.86842105263157898</v>
      </c>
      <c r="E13" s="4" t="s">
        <v>18</v>
      </c>
    </row>
    <row r="14" spans="1:5" ht="17" x14ac:dyDescent="0.2">
      <c r="A14" s="5">
        <v>45843</v>
      </c>
      <c r="B14" s="6">
        <v>6</v>
      </c>
      <c r="C14" s="6">
        <v>39</v>
      </c>
      <c r="D14" s="6">
        <f>1-B14/C14</f>
        <v>0.84615384615384615</v>
      </c>
      <c r="E14" s="4" t="s">
        <v>16</v>
      </c>
    </row>
    <row r="15" spans="1:5" ht="51" x14ac:dyDescent="0.2">
      <c r="A15" s="5">
        <v>45855</v>
      </c>
      <c r="B15" s="6">
        <v>174</v>
      </c>
      <c r="C15" s="6">
        <v>362</v>
      </c>
      <c r="D15" s="6">
        <f>1-B15/C15</f>
        <v>0.51933701657458564</v>
      </c>
      <c r="E15" s="4" t="s">
        <v>13</v>
      </c>
    </row>
    <row r="16" spans="1:5" ht="51" x14ac:dyDescent="0.2">
      <c r="A16" s="5">
        <v>45870</v>
      </c>
      <c r="B16" s="6">
        <v>164</v>
      </c>
      <c r="C16" s="6">
        <v>289</v>
      </c>
      <c r="D16" s="6">
        <f>1-B16/C16</f>
        <v>0.43252595155709339</v>
      </c>
      <c r="E16" s="4" t="s">
        <v>14</v>
      </c>
    </row>
    <row r="17" spans="1:5" ht="68" x14ac:dyDescent="0.2">
      <c r="A17" s="5">
        <v>45877</v>
      </c>
      <c r="B17" s="6">
        <v>37</v>
      </c>
      <c r="C17" s="6">
        <v>107</v>
      </c>
      <c r="D17" s="6">
        <f t="shared" ref="D17:D27" si="1">1-(B17/C17)</f>
        <v>0.65420560747663559</v>
      </c>
      <c r="E17" s="4" t="s">
        <v>19</v>
      </c>
    </row>
    <row r="18" spans="1:5" ht="34" x14ac:dyDescent="0.2">
      <c r="A18" s="5">
        <v>45906</v>
      </c>
      <c r="B18" s="6">
        <v>15</v>
      </c>
      <c r="C18" s="6">
        <v>39</v>
      </c>
      <c r="D18" s="6">
        <f t="shared" si="1"/>
        <v>0.61538461538461542</v>
      </c>
      <c r="E18" s="4" t="s">
        <v>17</v>
      </c>
    </row>
    <row r="19" spans="1:5" ht="17" x14ac:dyDescent="0.2">
      <c r="A19" s="5">
        <v>46143</v>
      </c>
      <c r="B19" s="6">
        <v>67</v>
      </c>
      <c r="C19" s="6">
        <v>182</v>
      </c>
      <c r="D19" s="6">
        <f t="shared" si="1"/>
        <v>0.63186813186813184</v>
      </c>
      <c r="E19" s="4" t="s">
        <v>2</v>
      </c>
    </row>
    <row r="20" spans="1:5" ht="34" x14ac:dyDescent="0.2">
      <c r="A20" s="5">
        <v>46171</v>
      </c>
      <c r="B20" s="6">
        <v>96</v>
      </c>
      <c r="C20" s="6">
        <v>307</v>
      </c>
      <c r="D20" s="6">
        <f t="shared" si="1"/>
        <v>0.68729641693811083</v>
      </c>
      <c r="E20" s="4" t="s">
        <v>5</v>
      </c>
    </row>
    <row r="21" spans="1:5" ht="17" x14ac:dyDescent="0.2">
      <c r="A21" s="5">
        <v>46179</v>
      </c>
      <c r="B21" s="6">
        <v>7</v>
      </c>
      <c r="C21" s="6">
        <v>48</v>
      </c>
      <c r="D21" s="6">
        <f t="shared" si="1"/>
        <v>0.85416666666666663</v>
      </c>
      <c r="E21" s="4" t="s">
        <v>4</v>
      </c>
    </row>
    <row r="22" spans="1:5" ht="17" x14ac:dyDescent="0.2">
      <c r="A22" s="5">
        <v>46186</v>
      </c>
      <c r="B22" s="6">
        <v>2</v>
      </c>
      <c r="C22" s="6">
        <v>33</v>
      </c>
      <c r="D22" s="6">
        <f t="shared" si="1"/>
        <v>0.93939393939393945</v>
      </c>
      <c r="E22" s="4" t="s">
        <v>3</v>
      </c>
    </row>
    <row r="23" spans="1:5" ht="17" x14ac:dyDescent="0.2">
      <c r="A23" s="5">
        <v>46199</v>
      </c>
      <c r="B23" s="6">
        <v>3</v>
      </c>
      <c r="C23" s="6">
        <v>17</v>
      </c>
      <c r="D23" s="6">
        <f t="shared" si="1"/>
        <v>0.82352941176470584</v>
      </c>
      <c r="E23" s="4" t="s">
        <v>6</v>
      </c>
    </row>
    <row r="24" spans="1:5" ht="51" x14ac:dyDescent="0.2">
      <c r="A24" s="5">
        <v>46209</v>
      </c>
      <c r="B24" s="6">
        <v>95</v>
      </c>
      <c r="C24" s="6">
        <v>185</v>
      </c>
      <c r="D24" s="6">
        <f t="shared" si="1"/>
        <v>0.48648648648648651</v>
      </c>
      <c r="E24" s="4" t="s">
        <v>7</v>
      </c>
    </row>
    <row r="25" spans="1:5" ht="51" x14ac:dyDescent="0.2">
      <c r="A25" s="5">
        <v>46223</v>
      </c>
      <c r="B25" s="6">
        <v>78</v>
      </c>
      <c r="C25" s="6">
        <v>245</v>
      </c>
      <c r="D25" s="6">
        <f t="shared" si="1"/>
        <v>0.68163265306122445</v>
      </c>
      <c r="E25" s="4" t="s">
        <v>8</v>
      </c>
    </row>
    <row r="26" spans="1:5" ht="17" x14ac:dyDescent="0.2">
      <c r="A26" s="5">
        <v>46235</v>
      </c>
      <c r="B26" s="6">
        <v>17</v>
      </c>
      <c r="C26" s="6">
        <v>157</v>
      </c>
      <c r="D26" s="6">
        <f t="shared" si="1"/>
        <v>0.89171974522292996</v>
      </c>
      <c r="E26" s="4" t="s">
        <v>9</v>
      </c>
    </row>
    <row r="27" spans="1:5" ht="68" x14ac:dyDescent="0.2">
      <c r="A27" s="5">
        <v>46241</v>
      </c>
      <c r="B27" s="6">
        <v>60</v>
      </c>
      <c r="C27" s="6">
        <v>78</v>
      </c>
      <c r="D27" s="6">
        <f t="shared" si="1"/>
        <v>0.23076923076923073</v>
      </c>
      <c r="E27" s="4" t="s">
        <v>10</v>
      </c>
    </row>
    <row r="28" spans="1:5" ht="17" x14ac:dyDescent="0.2">
      <c r="A28" s="5">
        <v>46260</v>
      </c>
      <c r="B28" s="6">
        <v>60</v>
      </c>
      <c r="C28" s="6">
        <v>119</v>
      </c>
      <c r="D28" s="6">
        <f>1-B28/C28</f>
        <v>0.49579831932773111</v>
      </c>
      <c r="E28" s="4" t="s">
        <v>11</v>
      </c>
    </row>
    <row r="29" spans="1:5" ht="34" x14ac:dyDescent="0.2">
      <c r="A29" s="5">
        <v>46270</v>
      </c>
      <c r="B29" s="6">
        <v>8</v>
      </c>
      <c r="C29" s="6">
        <v>41</v>
      </c>
      <c r="D29" s="6">
        <f>1-(B29/C29)</f>
        <v>0.80487804878048785</v>
      </c>
      <c r="E29" s="4" t="s">
        <v>12</v>
      </c>
    </row>
    <row r="30" spans="1:5" ht="17" x14ac:dyDescent="0.2">
      <c r="A30" s="3"/>
    </row>
    <row r="31" spans="1:5" ht="17" x14ac:dyDescent="0.2">
      <c r="A31" s="2"/>
    </row>
  </sheetData>
  <hyperlinks>
    <hyperlink ref="E19" r:id="rId1" display="https://portal2.psko.pl/regaty/puchar-ks-zatoka-puck---opp-b-2026" xr:uid="{DDC43EBF-04B2-A848-95FA-D916CE2AF8D5}"/>
    <hyperlink ref="E22" r:id="rId2" display="https://portal2.psko.pl/regaty/puchar-safege-2026" xr:uid="{8C30D83E-DA2C-4B4F-B863-56D877CE70BA}"/>
    <hyperlink ref="E21" r:id="rId3" display="https://portal2.psko.pl/regaty/puchar-tkz-torun-2026" xr:uid="{0327ACF3-2BF7-9D48-8C21-7CC72FC25BE2}"/>
    <hyperlink ref="E20" r:id="rId4" display="https://portal2.psko.pl/regaty/42-regaty-pomaranczowe-eliminacja-mpm-2026" xr:uid="{C761C1B1-447C-3749-A008-2F94C679BFC0}"/>
    <hyperlink ref="E23" r:id="rId5" display="https://portal2.psko.pl/regaty/mistrzostwa-psko-u10-2026" xr:uid="{562D3221-7EAB-4B4A-8C5A-BE662258E8CD}"/>
    <hyperlink ref="E24" r:id="rId6" display="https://portal2.psko.pl/regaty/puchar-trenerow-klasy-optimist-gr-b-w-ramach-lotto-gdynia-sailing-days-2026" xr:uid="{62FA518C-9645-924F-BC3D-B45EF26D1E59}"/>
    <hyperlink ref="E25" r:id="rId7" display="https://portal2.psko.pl/regaty/puchar-jeziora-zegrzynskiego-eliminacja-mistrzostw-polski-mlodzikow-2026" xr:uid="{C6961126-6D12-A04F-B768-0E399F5BC0BF}"/>
    <hyperlink ref="E26" r:id="rId8" display="https://portal2.psko.pl/regaty/srebrny-zagiel-optimista-2026" xr:uid="{EF3D02E1-A083-AE44-968D-AF98FD3961A9}"/>
    <hyperlink ref="E27" r:id="rId9" display="https://portal2.psko.pl/regaty/zagle-2026-mistrzostwa-polskiego-stowarzyszenia-klasy-optimist-u-12-2026" xr:uid="{DE667072-55A0-224E-92B3-57F9F888AC2D}"/>
    <hyperlink ref="E28" r:id="rId10" display="https://portal2.psko.pl/regaty/mistrzostwa-polski-mlodzikow-2026" xr:uid="{1DBC2303-3492-3944-8174-CC1A458F80B5}"/>
    <hyperlink ref="E29" r:id="rId11" display="https://portal2.psko.pl/regaty/puchar-znina-2026" xr:uid="{1FEDB24F-8F3B-1B42-B665-EFAE33C34947}"/>
    <hyperlink ref="E15" r:id="rId12" display="https://portal2.psko.pl/regaty/kinder-joy-of-moving,--puchar-trenerow,-eliminacja-mistrzostw-polski-mlodzikow-2025" xr:uid="{C1FD8CAD-0367-3443-92AF-CB7B2CE3F585}"/>
    <hyperlink ref="E16" r:id="rId13" display="https://portal2.psko.pl/regaty/srebrny-zagiel-optimista,-eliminacja-mistrzostw-polski-mlodzikow-2025" xr:uid="{EAE8B5F6-D973-394C-9DD4-CF1BE4FDE63D}"/>
    <hyperlink ref="E11" r:id="rId14" display="https://portal2.psko.pl/regaty/puchar-tkz-torun-2025" xr:uid="{E83D2E36-306B-664C-A70D-424EA7F01817}"/>
    <hyperlink ref="E14" r:id="rId15" display="https://portal2.psko.pl/regaty/x-regaty-o-puchar-columba-2025" xr:uid="{5E70862E-7E96-3941-9675-857DDF1C8AB5}"/>
    <hyperlink ref="E12" r:id="rId16" display="https://portal2.psko.pl/regaty/puchar-safege-2025" xr:uid="{3CE1B2EF-15EE-1648-A4F2-85522AAA570E}"/>
    <hyperlink ref="E18" r:id="rId17" display="https://portal2.psko.pl/regaty/puchar-znina-2025" xr:uid="{4B351272-1C08-2E44-A5B8-8AA39EC19642}"/>
    <hyperlink ref="E13" r:id="rId18" display="https://portal2.psko.pl/regaty/41-regaty-pomaranczowe,-mistrzostwa-psko-u-10-2025" xr:uid="{060258B0-EDA4-A94E-AEE1-AFA98BE4546D}"/>
    <hyperlink ref="E17" r:id="rId19" display="https://portal2.psko.pl/regaty/zagle-2025,-mistrzostwa-polskiego-stowarzyszenia-klasy-optimist-u-12-2025" xr:uid="{4CB9A18B-F705-3B48-B412-AD9CD143B0A1}"/>
    <hyperlink ref="E9" r:id="rId20" display="https://portal2.psko.pl/regaty/puchar-znina-2024" xr:uid="{C99812A3-55ED-6A42-B070-E331A25F6E54}"/>
    <hyperlink ref="E10" r:id="rId21" display="https://portal2.psko.pl/regaty/xiii-regaty-optysiowe-2024" xr:uid="{98A36219-6833-CC48-B14C-6B23C9805B7E}"/>
    <hyperlink ref="E6" r:id="rId22" display="https://portal2.psko.pl/regaty/ix-regaty-o-puchar-columba-2024" xr:uid="{50C891A7-A201-1A41-81A6-DD8A0AD979BC}"/>
    <hyperlink ref="E3" r:id="rId23" display="https://portal2.psko.pl/regaty/puchar-tkz-2024" xr:uid="{6C1BF4D9-E8DF-2F49-8CD1-59E652C8D868}"/>
    <hyperlink ref="E4" r:id="rId24" display="https://portal2.psko.pl/regaty/puchar-safege-2024" xr:uid="{BDCFBD26-B347-5341-9C49-2AD91715F2C0}"/>
    <hyperlink ref="E5" r:id="rId25" display="https://portal2.psko.pl/regaty/regaty-o-puchar-kormorana-2024" xr:uid="{4AE68B18-E7A8-814B-9470-14CF07CFBF6A}"/>
    <hyperlink ref="E7" r:id="rId26" display="https://portal2.psko.pl/regaty/mistrzostwa-psko-do-lat-9-2024" xr:uid="{0C5781B3-4B04-764F-AC03-F6E07ADA9DF1}"/>
    <hyperlink ref="E8" r:id="rId27" display="https://portal2.psko.pl/regaty/zagle-2024-xix-mistrzostwa-polskiego-stowarzyszenia-klasy-optimist-do-lat-11-2024" xr:uid="{1DA4D7D5-0A4B-724C-A54D-583C02804751}"/>
    <hyperlink ref="E2" r:id="rId28" display="https://portal2.psko.pl/regaty/puchar-znina-2023" xr:uid="{65AE7845-9958-DF4F-9AD1-1DB30F72122E}"/>
  </hyperlinks>
  <pageMargins left="0.7" right="0.7" top="0.75" bottom="0.75" header="0.3" footer="0.3"/>
  <tableParts count="1">
    <tablePart r:id="rId2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7D603-F2F3-8E45-A6FD-CC1FF23A3EF4}">
  <dimension ref="A1:E49"/>
  <sheetViews>
    <sheetView topLeftCell="A35" zoomScaleNormal="100" workbookViewId="0">
      <selection activeCell="C1" sqref="C1:D1"/>
    </sheetView>
  </sheetViews>
  <sheetFormatPr baseColWidth="10" defaultRowHeight="16" x14ac:dyDescent="0.2"/>
  <cols>
    <col min="1" max="1" width="21.1640625" customWidth="1"/>
    <col min="3" max="3" width="19" customWidth="1"/>
    <col min="4" max="4" width="16.83203125" customWidth="1"/>
    <col min="5" max="5" width="26.33203125" customWidth="1"/>
  </cols>
  <sheetData>
    <row r="1" spans="1:5" ht="17" x14ac:dyDescent="0.2">
      <c r="A1" s="7" t="s">
        <v>30</v>
      </c>
      <c r="B1" s="7" t="s">
        <v>0</v>
      </c>
      <c r="C1" s="7" t="s">
        <v>28</v>
      </c>
      <c r="D1" s="7" t="s">
        <v>49</v>
      </c>
      <c r="E1" s="7" t="s">
        <v>1</v>
      </c>
    </row>
    <row r="2" spans="1:5" ht="51" x14ac:dyDescent="0.2">
      <c r="A2" s="5">
        <v>44338</v>
      </c>
      <c r="B2" s="12">
        <v>28</v>
      </c>
      <c r="C2" s="12">
        <v>40</v>
      </c>
      <c r="D2" s="12">
        <f t="shared" ref="D2:D47" si="0">1-B2/C2</f>
        <v>0.30000000000000004</v>
      </c>
      <c r="E2" s="11" t="s">
        <v>46</v>
      </c>
    </row>
    <row r="3" spans="1:5" ht="34" x14ac:dyDescent="0.2">
      <c r="A3" s="5">
        <v>44373</v>
      </c>
      <c r="B3" s="12">
        <v>30</v>
      </c>
      <c r="C3" s="12">
        <v>37</v>
      </c>
      <c r="D3" s="12">
        <f t="shared" si="0"/>
        <v>0.18918918918918914</v>
      </c>
      <c r="E3" s="11" t="s">
        <v>44</v>
      </c>
    </row>
    <row r="4" spans="1:5" ht="51" x14ac:dyDescent="0.2">
      <c r="A4" s="5">
        <v>44387</v>
      </c>
      <c r="B4" s="12">
        <v>25</v>
      </c>
      <c r="C4" s="12">
        <v>31</v>
      </c>
      <c r="D4" s="12">
        <f t="shared" si="0"/>
        <v>0.19354838709677424</v>
      </c>
      <c r="E4" s="11" t="s">
        <v>48</v>
      </c>
    </row>
    <row r="5" spans="1:5" ht="51" x14ac:dyDescent="0.2">
      <c r="A5" s="5">
        <v>44429</v>
      </c>
      <c r="B5" s="12">
        <v>16</v>
      </c>
      <c r="C5" s="12">
        <v>22</v>
      </c>
      <c r="D5" s="12">
        <f t="shared" si="0"/>
        <v>0.27272727272727271</v>
      </c>
      <c r="E5" s="11" t="s">
        <v>47</v>
      </c>
    </row>
    <row r="6" spans="1:5" ht="34" x14ac:dyDescent="0.2">
      <c r="A6" s="5">
        <v>44443</v>
      </c>
      <c r="B6" s="12">
        <v>24</v>
      </c>
      <c r="C6" s="12">
        <v>41</v>
      </c>
      <c r="D6" s="12">
        <f t="shared" si="0"/>
        <v>0.41463414634146345</v>
      </c>
      <c r="E6" s="11" t="s">
        <v>45</v>
      </c>
    </row>
    <row r="7" spans="1:5" ht="34" x14ac:dyDescent="0.2">
      <c r="A7" s="13">
        <v>44443</v>
      </c>
      <c r="B7" s="12">
        <v>31</v>
      </c>
      <c r="C7" s="12">
        <v>41</v>
      </c>
      <c r="D7" s="12">
        <f t="shared" si="0"/>
        <v>0.24390243902439024</v>
      </c>
      <c r="E7" s="11" t="s">
        <v>45</v>
      </c>
    </row>
    <row r="8" spans="1:5" ht="51" x14ac:dyDescent="0.2">
      <c r="A8" s="5">
        <v>44702</v>
      </c>
      <c r="B8" s="12">
        <v>27</v>
      </c>
      <c r="C8" s="12">
        <v>38</v>
      </c>
      <c r="D8" s="12">
        <f t="shared" si="0"/>
        <v>0.28947368421052633</v>
      </c>
      <c r="E8" s="11" t="s">
        <v>41</v>
      </c>
    </row>
    <row r="9" spans="1:5" ht="34" x14ac:dyDescent="0.2">
      <c r="A9" s="5">
        <v>44723</v>
      </c>
      <c r="B9" s="12">
        <v>18</v>
      </c>
      <c r="C9" s="12">
        <v>41</v>
      </c>
      <c r="D9" s="12">
        <f t="shared" si="0"/>
        <v>0.56097560975609762</v>
      </c>
      <c r="E9" s="11" t="s">
        <v>42</v>
      </c>
    </row>
    <row r="10" spans="1:5" ht="17" x14ac:dyDescent="0.2">
      <c r="A10" s="5">
        <v>44771</v>
      </c>
      <c r="B10" s="12">
        <v>20</v>
      </c>
      <c r="C10" s="12">
        <v>33</v>
      </c>
      <c r="D10" s="12">
        <f t="shared" si="0"/>
        <v>0.39393939393939392</v>
      </c>
      <c r="E10" s="11" t="s">
        <v>25</v>
      </c>
    </row>
    <row r="11" spans="1:5" ht="34" x14ac:dyDescent="0.2">
      <c r="A11" s="5">
        <v>44807</v>
      </c>
      <c r="B11" s="12">
        <v>17</v>
      </c>
      <c r="C11" s="12">
        <v>45</v>
      </c>
      <c r="D11" s="12">
        <f t="shared" si="0"/>
        <v>0.62222222222222223</v>
      </c>
      <c r="E11" s="11" t="s">
        <v>40</v>
      </c>
    </row>
    <row r="12" spans="1:5" ht="17" x14ac:dyDescent="0.2">
      <c r="A12" s="5">
        <v>44835</v>
      </c>
      <c r="B12" s="12">
        <v>58</v>
      </c>
      <c r="C12" s="12">
        <v>66</v>
      </c>
      <c r="D12" s="12">
        <f t="shared" si="0"/>
        <v>0.12121212121212122</v>
      </c>
      <c r="E12" s="11" t="s">
        <v>43</v>
      </c>
    </row>
    <row r="13" spans="1:5" ht="17" x14ac:dyDescent="0.2">
      <c r="A13" s="5">
        <v>45067</v>
      </c>
      <c r="B13" s="12">
        <v>6</v>
      </c>
      <c r="C13" s="12">
        <v>37</v>
      </c>
      <c r="D13" s="12">
        <f t="shared" si="0"/>
        <v>0.83783783783783783</v>
      </c>
      <c r="E13" s="11" t="s">
        <v>23</v>
      </c>
    </row>
    <row r="14" spans="1:5" ht="51" x14ac:dyDescent="0.2">
      <c r="A14" s="5">
        <v>45073</v>
      </c>
      <c r="B14" s="12">
        <v>5</v>
      </c>
      <c r="C14" s="12">
        <v>31</v>
      </c>
      <c r="D14" s="12">
        <f t="shared" si="0"/>
        <v>0.83870967741935487</v>
      </c>
      <c r="E14" s="11" t="s">
        <v>36</v>
      </c>
    </row>
    <row r="15" spans="1:5" ht="68" x14ac:dyDescent="0.2">
      <c r="A15" s="5">
        <v>45087</v>
      </c>
      <c r="B15" s="12">
        <v>45</v>
      </c>
      <c r="C15" s="12">
        <v>78</v>
      </c>
      <c r="D15" s="12">
        <f t="shared" si="0"/>
        <v>0.42307692307692313</v>
      </c>
      <c r="E15" s="11" t="s">
        <v>33</v>
      </c>
    </row>
    <row r="16" spans="1:5" ht="34" x14ac:dyDescent="0.2">
      <c r="A16" s="5">
        <v>45092</v>
      </c>
      <c r="B16" s="12">
        <v>8</v>
      </c>
      <c r="C16" s="12">
        <v>35</v>
      </c>
      <c r="D16" s="12">
        <f t="shared" si="0"/>
        <v>0.77142857142857146</v>
      </c>
      <c r="E16" s="11" t="s">
        <v>35</v>
      </c>
    </row>
    <row r="17" spans="1:5" ht="51" x14ac:dyDescent="0.2">
      <c r="A17" s="5">
        <v>45115</v>
      </c>
      <c r="B17" s="12">
        <v>6</v>
      </c>
      <c r="C17" s="12">
        <v>35</v>
      </c>
      <c r="D17" s="12">
        <f t="shared" si="0"/>
        <v>0.82857142857142851</v>
      </c>
      <c r="E17" s="11" t="s">
        <v>34</v>
      </c>
    </row>
    <row r="18" spans="1:5" ht="17" x14ac:dyDescent="0.2">
      <c r="A18" s="5">
        <v>45135</v>
      </c>
      <c r="B18" s="12">
        <v>13</v>
      </c>
      <c r="C18" s="12">
        <v>52</v>
      </c>
      <c r="D18" s="12">
        <f t="shared" si="0"/>
        <v>0.75</v>
      </c>
      <c r="E18" s="11" t="s">
        <v>25</v>
      </c>
    </row>
    <row r="19" spans="1:5" ht="51" x14ac:dyDescent="0.2">
      <c r="A19" s="5">
        <v>45149</v>
      </c>
      <c r="B19" s="12">
        <v>54</v>
      </c>
      <c r="C19" s="12">
        <v>100</v>
      </c>
      <c r="D19" s="12">
        <f t="shared" si="0"/>
        <v>0.45999999999999996</v>
      </c>
      <c r="E19" s="11" t="s">
        <v>38</v>
      </c>
    </row>
    <row r="20" spans="1:5" ht="34" x14ac:dyDescent="0.2">
      <c r="A20" s="5">
        <v>45169</v>
      </c>
      <c r="B20" s="12">
        <v>7</v>
      </c>
      <c r="C20" s="12">
        <v>44</v>
      </c>
      <c r="D20" s="12">
        <f t="shared" si="0"/>
        <v>0.84090909090909094</v>
      </c>
      <c r="E20" s="11" t="s">
        <v>27</v>
      </c>
    </row>
    <row r="21" spans="1:5" ht="68" x14ac:dyDescent="0.2">
      <c r="A21" s="5">
        <v>45178</v>
      </c>
      <c r="B21" s="12">
        <v>6</v>
      </c>
      <c r="C21" s="12">
        <v>31</v>
      </c>
      <c r="D21" s="12">
        <f t="shared" si="0"/>
        <v>0.80645161290322576</v>
      </c>
      <c r="E21" s="11" t="s">
        <v>37</v>
      </c>
    </row>
    <row r="22" spans="1:5" ht="17" x14ac:dyDescent="0.2">
      <c r="A22" s="5">
        <v>45199</v>
      </c>
      <c r="B22" s="12">
        <v>21</v>
      </c>
      <c r="C22" s="12">
        <v>65</v>
      </c>
      <c r="D22" s="12">
        <f t="shared" si="0"/>
        <v>0.67692307692307696</v>
      </c>
      <c r="E22" s="11" t="s">
        <v>39</v>
      </c>
    </row>
    <row r="23" spans="1:5" ht="17" x14ac:dyDescent="0.2">
      <c r="A23" s="5">
        <v>45450</v>
      </c>
      <c r="B23" s="12">
        <v>12</v>
      </c>
      <c r="C23" s="12">
        <v>65</v>
      </c>
      <c r="D23" s="12">
        <f t="shared" si="0"/>
        <v>0.81538461538461537</v>
      </c>
      <c r="E23" s="11" t="s">
        <v>23</v>
      </c>
    </row>
    <row r="24" spans="1:5" ht="17" x14ac:dyDescent="0.2">
      <c r="A24" s="5">
        <v>45458</v>
      </c>
      <c r="B24" s="12">
        <v>7</v>
      </c>
      <c r="C24" s="12">
        <v>21</v>
      </c>
      <c r="D24" s="12">
        <f t="shared" si="0"/>
        <v>0.66666666666666674</v>
      </c>
      <c r="E24" s="11" t="s">
        <v>3</v>
      </c>
    </row>
    <row r="25" spans="1:5" ht="17" x14ac:dyDescent="0.2">
      <c r="A25" s="5">
        <v>45465</v>
      </c>
      <c r="B25" s="12">
        <v>9</v>
      </c>
      <c r="C25" s="12">
        <v>33</v>
      </c>
      <c r="D25" s="12">
        <f t="shared" si="0"/>
        <v>0.72727272727272729</v>
      </c>
      <c r="E25" s="11" t="s">
        <v>24</v>
      </c>
    </row>
    <row r="26" spans="1:5" ht="17" x14ac:dyDescent="0.2">
      <c r="A26" s="5">
        <v>45479</v>
      </c>
      <c r="B26" s="12">
        <v>19</v>
      </c>
      <c r="C26" s="12">
        <v>36</v>
      </c>
      <c r="D26" s="12">
        <f t="shared" si="0"/>
        <v>0.47222222222222221</v>
      </c>
      <c r="E26" s="11" t="s">
        <v>22</v>
      </c>
    </row>
    <row r="27" spans="1:5" ht="51" x14ac:dyDescent="0.2">
      <c r="A27" s="5">
        <v>45513</v>
      </c>
      <c r="B27" s="12">
        <v>16</v>
      </c>
      <c r="C27" s="12">
        <v>106</v>
      </c>
      <c r="D27" s="12">
        <f t="shared" si="0"/>
        <v>0.84905660377358494</v>
      </c>
      <c r="E27" s="11" t="s">
        <v>26</v>
      </c>
    </row>
    <row r="28" spans="1:5" ht="34" x14ac:dyDescent="0.2">
      <c r="A28" s="5">
        <v>45535</v>
      </c>
      <c r="B28" s="12">
        <v>10</v>
      </c>
      <c r="C28" s="12">
        <v>46</v>
      </c>
      <c r="D28" s="12">
        <f t="shared" si="0"/>
        <v>0.78260869565217395</v>
      </c>
      <c r="E28" s="11" t="s">
        <v>20</v>
      </c>
    </row>
    <row r="29" spans="1:5" ht="68" x14ac:dyDescent="0.2">
      <c r="A29" s="5">
        <v>45542</v>
      </c>
      <c r="B29" s="12">
        <v>22</v>
      </c>
      <c r="C29" s="12">
        <v>39</v>
      </c>
      <c r="D29" s="12">
        <f t="shared" si="0"/>
        <v>0.4358974358974359</v>
      </c>
      <c r="E29" s="11" t="s">
        <v>21</v>
      </c>
    </row>
    <row r="30" spans="1:5" ht="51" x14ac:dyDescent="0.2">
      <c r="A30" s="5">
        <v>45815</v>
      </c>
      <c r="B30" s="12">
        <v>18</v>
      </c>
      <c r="C30" s="12">
        <v>63</v>
      </c>
      <c r="D30" s="12">
        <f t="shared" si="0"/>
        <v>0.7142857142857143</v>
      </c>
      <c r="E30" s="11" t="s">
        <v>15</v>
      </c>
    </row>
    <row r="31" spans="1:5" ht="17" x14ac:dyDescent="0.2">
      <c r="A31" s="5">
        <v>45822</v>
      </c>
      <c r="B31" s="12">
        <v>10</v>
      </c>
      <c r="C31" s="12">
        <v>39</v>
      </c>
      <c r="D31" s="12">
        <f t="shared" si="0"/>
        <v>0.74358974358974361</v>
      </c>
      <c r="E31" s="11" t="s">
        <v>3</v>
      </c>
    </row>
    <row r="32" spans="1:5" ht="17" x14ac:dyDescent="0.2">
      <c r="A32" s="5">
        <v>45828</v>
      </c>
      <c r="B32" s="12">
        <v>78</v>
      </c>
      <c r="C32" s="12">
        <v>108</v>
      </c>
      <c r="D32" s="12">
        <f t="shared" si="0"/>
        <v>0.27777777777777779</v>
      </c>
      <c r="E32" s="11" t="s">
        <v>32</v>
      </c>
    </row>
    <row r="33" spans="1:5" ht="17" x14ac:dyDescent="0.2">
      <c r="A33" s="5">
        <v>45843</v>
      </c>
      <c r="B33" s="12">
        <v>10</v>
      </c>
      <c r="C33" s="12">
        <v>39</v>
      </c>
      <c r="D33" s="12">
        <f t="shared" si="0"/>
        <v>0.74358974358974361</v>
      </c>
      <c r="E33" s="11" t="s">
        <v>16</v>
      </c>
    </row>
    <row r="34" spans="1:5" ht="51" x14ac:dyDescent="0.2">
      <c r="A34" s="5">
        <v>45855</v>
      </c>
      <c r="B34" s="12">
        <v>173</v>
      </c>
      <c r="C34" s="12">
        <v>362</v>
      </c>
      <c r="D34" s="12">
        <f t="shared" si="0"/>
        <v>0.5220994475138121</v>
      </c>
      <c r="E34" s="11" t="s">
        <v>13</v>
      </c>
    </row>
    <row r="35" spans="1:5" ht="51" x14ac:dyDescent="0.2">
      <c r="A35" s="5">
        <v>45870</v>
      </c>
      <c r="B35" s="12">
        <v>174</v>
      </c>
      <c r="C35" s="12">
        <v>289</v>
      </c>
      <c r="D35" s="12">
        <f t="shared" si="0"/>
        <v>0.39792387543252594</v>
      </c>
      <c r="E35" s="11" t="s">
        <v>14</v>
      </c>
    </row>
    <row r="36" spans="1:5" ht="68" x14ac:dyDescent="0.2">
      <c r="A36" s="5">
        <v>45877</v>
      </c>
      <c r="B36" s="12">
        <v>36</v>
      </c>
      <c r="C36" s="12">
        <v>107</v>
      </c>
      <c r="D36" s="12">
        <f t="shared" si="0"/>
        <v>0.66355140186915884</v>
      </c>
      <c r="E36" s="11" t="s">
        <v>19</v>
      </c>
    </row>
    <row r="37" spans="1:5" ht="34" x14ac:dyDescent="0.2">
      <c r="A37" s="5">
        <v>45906</v>
      </c>
      <c r="B37" s="12">
        <v>11</v>
      </c>
      <c r="C37" s="12">
        <v>39</v>
      </c>
      <c r="D37" s="12">
        <f t="shared" si="0"/>
        <v>0.71794871794871795</v>
      </c>
      <c r="E37" s="11" t="s">
        <v>17</v>
      </c>
    </row>
    <row r="38" spans="1:5" ht="17" x14ac:dyDescent="0.2">
      <c r="A38" s="5">
        <v>46143</v>
      </c>
      <c r="B38" s="12">
        <v>105</v>
      </c>
      <c r="C38" s="12">
        <v>182</v>
      </c>
      <c r="D38" s="12">
        <f t="shared" si="0"/>
        <v>0.42307692307692313</v>
      </c>
      <c r="E38" s="11" t="s">
        <v>2</v>
      </c>
    </row>
    <row r="39" spans="1:5" ht="34" x14ac:dyDescent="0.2">
      <c r="A39" s="5">
        <v>46171</v>
      </c>
      <c r="B39" s="12">
        <v>147</v>
      </c>
      <c r="C39" s="12">
        <v>307</v>
      </c>
      <c r="D39" s="12">
        <f t="shared" si="0"/>
        <v>0.52117263843648209</v>
      </c>
      <c r="E39" s="11" t="s">
        <v>5</v>
      </c>
    </row>
    <row r="40" spans="1:5" ht="17" x14ac:dyDescent="0.2">
      <c r="A40" s="5">
        <v>46179</v>
      </c>
      <c r="B40" s="12">
        <v>4</v>
      </c>
      <c r="C40" s="12">
        <v>48</v>
      </c>
      <c r="D40" s="12">
        <f t="shared" si="0"/>
        <v>0.91666666666666663</v>
      </c>
      <c r="E40" s="11" t="s">
        <v>4</v>
      </c>
    </row>
    <row r="41" spans="1:5" ht="17" x14ac:dyDescent="0.2">
      <c r="A41" s="5">
        <v>46186</v>
      </c>
      <c r="B41" s="12">
        <v>4</v>
      </c>
      <c r="C41" s="12">
        <v>33</v>
      </c>
      <c r="D41" s="12">
        <f t="shared" si="0"/>
        <v>0.87878787878787878</v>
      </c>
      <c r="E41" s="11" t="s">
        <v>3</v>
      </c>
    </row>
    <row r="42" spans="1:5" ht="17" x14ac:dyDescent="0.2">
      <c r="A42" s="5">
        <v>46200</v>
      </c>
      <c r="B42" s="12">
        <v>4</v>
      </c>
      <c r="C42" s="12">
        <v>32</v>
      </c>
      <c r="D42" s="12">
        <f t="shared" si="0"/>
        <v>0.875</v>
      </c>
      <c r="E42" s="11" t="s">
        <v>24</v>
      </c>
    </row>
    <row r="43" spans="1:5" ht="51" x14ac:dyDescent="0.2">
      <c r="A43" s="5">
        <v>46223</v>
      </c>
      <c r="B43" s="12">
        <v>52</v>
      </c>
      <c r="C43" s="12">
        <v>245</v>
      </c>
      <c r="D43" s="12">
        <f t="shared" si="0"/>
        <v>0.78775510204081634</v>
      </c>
      <c r="E43" s="11" t="s">
        <v>8</v>
      </c>
    </row>
    <row r="44" spans="1:5" ht="17" x14ac:dyDescent="0.2">
      <c r="A44" s="5">
        <v>46235</v>
      </c>
      <c r="B44" s="12">
        <v>47</v>
      </c>
      <c r="C44" s="12">
        <v>157</v>
      </c>
      <c r="D44" s="12">
        <f t="shared" si="0"/>
        <v>0.7006369426751593</v>
      </c>
      <c r="E44" s="11" t="s">
        <v>9</v>
      </c>
    </row>
    <row r="45" spans="1:5" ht="51" x14ac:dyDescent="0.2">
      <c r="A45" s="5">
        <v>46240</v>
      </c>
      <c r="B45" s="12">
        <v>88</v>
      </c>
      <c r="C45" s="12">
        <v>185</v>
      </c>
      <c r="D45" s="12">
        <f t="shared" si="0"/>
        <v>0.5243243243243243</v>
      </c>
      <c r="E45" s="11" t="s">
        <v>7</v>
      </c>
    </row>
    <row r="46" spans="1:5" ht="17" x14ac:dyDescent="0.2">
      <c r="A46" s="5">
        <v>46260</v>
      </c>
      <c r="B46" s="12">
        <v>117</v>
      </c>
      <c r="C46" s="12">
        <v>119</v>
      </c>
      <c r="D46" s="12">
        <f t="shared" si="0"/>
        <v>1.6806722689075682E-2</v>
      </c>
      <c r="E46" s="11" t="s">
        <v>11</v>
      </c>
    </row>
    <row r="47" spans="1:5" ht="34" x14ac:dyDescent="0.2">
      <c r="A47" s="5">
        <v>46270</v>
      </c>
      <c r="B47" s="12">
        <v>3</v>
      </c>
      <c r="C47" s="12">
        <v>41</v>
      </c>
      <c r="D47" s="12">
        <f t="shared" si="0"/>
        <v>0.92682926829268297</v>
      </c>
      <c r="E47" s="11" t="s">
        <v>12</v>
      </c>
    </row>
    <row r="48" spans="1:5" ht="17" x14ac:dyDescent="0.2">
      <c r="A48" s="10">
        <v>1</v>
      </c>
      <c r="D48" s="8"/>
    </row>
    <row r="49" spans="1:1" ht="17" x14ac:dyDescent="0.2">
      <c r="A49" s="2"/>
    </row>
  </sheetData>
  <hyperlinks>
    <hyperlink ref="E38" r:id="rId1" display="https://portal2.psko.pl/regaty/puchar-ks-zatoka-puck---opp-b-2026" xr:uid="{8BA17118-912E-D040-8AEC-647532B999D6}"/>
    <hyperlink ref="E41" r:id="rId2" display="https://portal2.psko.pl/regaty/puchar-safege-2026" xr:uid="{855FE38D-3B5B-4A41-A694-6E88167B809F}"/>
    <hyperlink ref="E40" r:id="rId3" display="https://portal2.psko.pl/regaty/puchar-tkz-torun-2026" xr:uid="{68C8BA8B-AF2D-C845-973F-233BD3CFA07B}"/>
    <hyperlink ref="E39" r:id="rId4" display="https://portal2.psko.pl/regaty/42-regaty-pomaranczowe-eliminacja-mpm-2026" xr:uid="{B3A7E3A9-E4EF-9142-8A1F-73CBBF87A4DA}"/>
    <hyperlink ref="E45" r:id="rId5" display="https://portal2.psko.pl/regaty/puchar-trenerow-klasy-optimist-gr-b-w-ramach-lotto-gdynia-sailing-days-2026" xr:uid="{6D83BC99-F496-D54D-931E-6C25DC31AFF6}"/>
    <hyperlink ref="E43" r:id="rId6" display="https://portal2.psko.pl/regaty/puchar-jeziora-zegrzynskiego-eliminacja-mistrzostw-polski-mlodzikow-2026" xr:uid="{76A0F8D1-6CAA-F847-AB9C-8FDADE3EA89E}"/>
    <hyperlink ref="E44" r:id="rId7" display="https://portal2.psko.pl/regaty/srebrny-zagiel-optimista-2026" xr:uid="{B66CDA71-86C6-2A4C-9449-581E3E96D83B}"/>
    <hyperlink ref="E42" r:id="rId8" display="https://portal2.psko.pl/regaty/regaty-o-puchar-kormorana-2026" xr:uid="{52A1F3B1-F0C7-BE4D-AF14-21BE0828A1AC}"/>
    <hyperlink ref="E46" r:id="rId9" display="https://portal2.psko.pl/regaty/mistrzostwa-polski-mlodzikow-2026" xr:uid="{29AB5D6C-781F-094F-BD1B-26875D5C78BA}"/>
    <hyperlink ref="E47" r:id="rId10" display="https://portal2.psko.pl/regaty/puchar-znina-2026" xr:uid="{DD6AF61B-2A19-5746-89CB-F8F7AB7A5668}"/>
    <hyperlink ref="E34" r:id="rId11" display="https://portal2.psko.pl/regaty/kinder-joy-of-moving,--puchar-trenerow,-eliminacja-mistrzostw-polski-mlodzikow-2025" xr:uid="{B12CB261-C800-424C-B118-A35EF9ACDFEA}"/>
    <hyperlink ref="E35" r:id="rId12" display="https://portal2.psko.pl/regaty/srebrny-zagiel-optimista,-eliminacja-mistrzostw-polski-mlodzikow-2025" xr:uid="{08FF6535-3214-5D48-81B2-1B65CD149FE5}"/>
    <hyperlink ref="E30" r:id="rId13" display="https://portal2.psko.pl/regaty/puchar-tkz-torun-2025" xr:uid="{C24078D5-3281-0B43-9E04-C0FE1955F6A8}"/>
    <hyperlink ref="E31" r:id="rId14" display="https://portal2.psko.pl/regaty/puchar-safege-2025" xr:uid="{F9EA890B-2CEF-3B45-A2DF-3847B184EEAC}"/>
    <hyperlink ref="E33" r:id="rId15" display="https://portal2.psko.pl/regaty/x-regaty-o-puchar-columba-2025" xr:uid="{7D233A0F-D4D4-5B4F-9901-A5B161E7B48D}"/>
    <hyperlink ref="E37" r:id="rId16" display="https://portal2.psko.pl/regaty/puchar-znina-2025" xr:uid="{F47A1F0A-B43F-8440-8329-81570C0672E5}"/>
    <hyperlink ref="E32" r:id="rId17" display="https://portal2.psko.pl/regaty/mistrzostwa-psko-u14-open-2025" xr:uid="{BC9F735C-67B2-3C40-AA39-E16F6AD492F2}"/>
    <hyperlink ref="E36" r:id="rId18" display="https://portal2.psko.pl/regaty/zagle-2025,-mistrzostwa-polskiego-stowarzyszenia-klasy-optimist-u-12-2025" xr:uid="{E5B5580E-411C-9145-A5C6-E29082D9725C}"/>
    <hyperlink ref="E23" r:id="rId19" display="https://portal2.psko.pl/regaty/puchar-tkz-2024" xr:uid="{F0D7F708-0D89-5B43-97F1-EEDBE9D1E018}"/>
    <hyperlink ref="E28" r:id="rId20" display="https://portal2.psko.pl/regaty/puchar-znina-2024" xr:uid="{FC54E058-9EFC-4D44-8762-296029C2E91C}"/>
    <hyperlink ref="E25" r:id="rId21" display="https://portal2.psko.pl/regaty/regaty-o-puchar-kormorana-2024" xr:uid="{6057864A-A8F9-0949-B9DA-BB9CF1143A9A}"/>
    <hyperlink ref="E26" r:id="rId22" display="https://portal2.psko.pl/regaty/ix-regaty-o-puchar-columba-2024" xr:uid="{71981BB9-F834-4840-A929-1F6BC445615D}"/>
    <hyperlink ref="E29" r:id="rId23" display="https://portal2.psko.pl/regaty/xiii-regaty-optysiowe-2024" xr:uid="{1744D774-FA6B-454B-BB8C-4743B77DCC7D}"/>
    <hyperlink ref="E24" r:id="rId24" display="https://portal2.psko.pl/regaty/puchar-safege-2024" xr:uid="{BD57603A-4597-BE46-BE87-D633DC45E123}"/>
    <hyperlink ref="E27" r:id="rId25" display="https://portal2.psko.pl/regaty/zagle-2024-xix-mistrzostwa-polskiego-stowarzyszenia-klasy-optimist-do-lat-11-2024" xr:uid="{294677EB-1DA5-5F4D-A380-2CA983E83E34}"/>
    <hyperlink ref="E15" r:id="rId26" display="https://portal2.psko.pl/regaty/zagle-2023-xxi-ogolnopolskie-regaty-o-puchar-ziemi-zlocienieckiej-2023" xr:uid="{33C6FC98-2C0A-6343-852A-3B07C0EB3A53}"/>
    <hyperlink ref="E20" r:id="rId27" display="https://portal2.psko.pl/regaty/puchar-znina-2023" xr:uid="{E5A61CEC-DE7A-CC45-BC0E-414A8E78D7BE}"/>
    <hyperlink ref="E13" r:id="rId28" display="https://portal2.psko.pl/regaty/puchar-tkz-2023" xr:uid="{8CB9E009-6B1F-A346-B251-25DFC10B8D58}"/>
    <hyperlink ref="E17" r:id="rId29" display="https://portal2.psko.pl/regaty/viii-regaty-o-puchar-columba-2023" xr:uid="{7DE765AC-F693-4442-BC35-78AA3112302F}"/>
    <hyperlink ref="E16" r:id="rId30" display="https://portal2.psko.pl/regaty/puchar-safege-2023" xr:uid="{1C8CC27A-4444-8545-82B5-9A6B9D0AE8AA}"/>
    <hyperlink ref="E14" r:id="rId31" display="https://portal2.psko.pl/regaty/-puchar-burmistrza-czluchowa-2023" xr:uid="{AE8AE9C9-C7BD-DA46-AB22-E0DE176B636D}"/>
    <hyperlink ref="E21" r:id="rId32" display="https://portal2.psko.pl/regaty/xii-regaty-optysiowe-2023" xr:uid="{51EAB086-B69E-1349-94D7-B4700A79D3FC}"/>
    <hyperlink ref="E19" r:id="rId33" display="https://portal2.psko.pl/regaty/zagle-2023-xvii-mistrzostwa-polskiego-stowarzyszenia-klasy-optimist-do-lat-11-2023" xr:uid="{9B2349CC-5AE1-BE4F-957F-C57704DB6943}"/>
    <hyperlink ref="E18" r:id="rId34" display="https://portal2.psko.pl/regaty/mistrzostwa-psko-do-lat-9-2023" xr:uid="{52A722D7-E2A7-6249-B232-53D2AAB09FB3}"/>
    <hyperlink ref="E22" r:id="rId35" display="https://portal2.psko.pl/regaty/mmm---pom,-kuj-pom-2023" xr:uid="{53C5DE94-2C33-0C4A-B298-A4BC2D628EC1}"/>
    <hyperlink ref="E11" r:id="rId36" display="https://portal2.psko.pl/regaty/puchar-znina-2022" xr:uid="{ABDE5AB9-1EB6-FE40-89AA-E8E22A896C72}"/>
    <hyperlink ref="E8" r:id="rId37" display="https://portal2.psko.pl/regaty/puchar-tkz-2022" xr:uid="{C0082DD6-2AB0-7442-9B9F-400C83D4F279}"/>
    <hyperlink ref="E9" r:id="rId38" display="https://portal2.psko.pl/regaty/puchar-safege-2022" xr:uid="{D826DD9C-92FC-094B-A2DD-3015CEBA849A}"/>
    <hyperlink ref="E10" r:id="rId39" display="https://portal2.psko.pl/regaty/mistrzostwa-psko-do-lat-9-2022" xr:uid="{38AF17CE-5F6D-2749-8542-FBD40AE69E63}"/>
    <hyperlink ref="E12" r:id="rId40" display="https://portal2.psko.pl/regaty/mmm---pom-i-kuj-pom-2022" xr:uid="{40FE00E4-64E6-6040-BE84-EBF45539C57D}"/>
    <hyperlink ref="E3" r:id="rId41" display="https://portal2.psko.pl/regaty/puchar-safege-2021" xr:uid="{5FA7B83B-9167-4D4F-94BC-82BDFFBA3F5D}"/>
    <hyperlink ref="E6" r:id="rId42" display="https://portal2.psko.pl/regaty/puchar-znina-2021" xr:uid="{7B87908A-37EA-414D-A51A-5AF856CEA246}"/>
    <hyperlink ref="E2" r:id="rId43" display="https://portal2.psko.pl/regaty/puchar-tkz-2021" xr:uid="{47C12BC9-5D9E-D14D-92D3-399FE7B5033B}"/>
    <hyperlink ref="E7" r:id="rId44" display="https://portal2.psko.pl/regaty/puchar-znina-2021" xr:uid="{44BFC708-29B6-1D41-A14E-76F018F8AF80}"/>
    <hyperlink ref="E5" r:id="rId45" display="https://portal2.psko.pl/regaty/puchar-burmistrza-regaty-sw-wawrzynca-2021" xr:uid="{B6184180-08C4-6A48-AC0B-6F2DEADE1599}"/>
    <hyperlink ref="E4" r:id="rId46" display="https://portal2.psko.pl/regaty/vi-regaty-o-puchar-columba-2021" xr:uid="{B38E2D68-A6FA-024D-A481-A587D1306632}"/>
  </hyperlinks>
  <pageMargins left="0.7" right="0.7" top="0.75" bottom="0.75" header="0.3" footer="0.3"/>
  <tableParts count="1">
    <tablePart r:id="rId4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B9C8C-65C8-ED43-995E-720AD9545788}">
  <dimension ref="A1:E37"/>
  <sheetViews>
    <sheetView tabSelected="1" topLeftCell="A7" workbookViewId="0">
      <selection activeCell="G11" sqref="G11"/>
    </sheetView>
  </sheetViews>
  <sheetFormatPr baseColWidth="10" defaultRowHeight="16" x14ac:dyDescent="0.2"/>
  <cols>
    <col min="1" max="1" width="11.83203125" bestFit="1" customWidth="1"/>
    <col min="3" max="3" width="19" customWidth="1"/>
    <col min="4" max="4" width="16.83203125" customWidth="1"/>
    <col min="5" max="5" width="27" customWidth="1"/>
  </cols>
  <sheetData>
    <row r="1" spans="1:5" ht="17" x14ac:dyDescent="0.2">
      <c r="A1" s="7" t="s">
        <v>31</v>
      </c>
      <c r="B1" s="7" t="s">
        <v>0</v>
      </c>
      <c r="C1" s="14" t="s">
        <v>28</v>
      </c>
      <c r="D1" s="14" t="s">
        <v>49</v>
      </c>
      <c r="E1" s="7" t="s">
        <v>1</v>
      </c>
    </row>
    <row r="2" spans="1:5" ht="17" x14ac:dyDescent="0.2">
      <c r="A2" s="5">
        <v>46143</v>
      </c>
      <c r="B2" s="12">
        <v>58</v>
      </c>
      <c r="C2" s="12">
        <v>182</v>
      </c>
      <c r="D2" s="12">
        <f>1-B2/C2</f>
        <v>0.68131868131868134</v>
      </c>
      <c r="E2" s="11" t="s">
        <v>2</v>
      </c>
    </row>
    <row r="3" spans="1:5" ht="17" x14ac:dyDescent="0.2">
      <c r="A3" s="5">
        <v>46186</v>
      </c>
      <c r="B3" s="12">
        <v>3</v>
      </c>
      <c r="C3" s="12">
        <v>33</v>
      </c>
      <c r="D3" s="12">
        <f t="shared" ref="D3:D35" si="0">1-B3/C3</f>
        <v>0.90909090909090906</v>
      </c>
      <c r="E3" s="11" t="s">
        <v>3</v>
      </c>
    </row>
    <row r="4" spans="1:5" ht="17" x14ac:dyDescent="0.2">
      <c r="A4" s="5">
        <v>46179</v>
      </c>
      <c r="B4" s="12">
        <v>10</v>
      </c>
      <c r="C4" s="12">
        <v>48</v>
      </c>
      <c r="D4" s="12">
        <f t="shared" si="0"/>
        <v>0.79166666666666663</v>
      </c>
      <c r="E4" s="11" t="s">
        <v>4</v>
      </c>
    </row>
    <row r="5" spans="1:5" ht="34" x14ac:dyDescent="0.2">
      <c r="A5" s="5">
        <v>46171</v>
      </c>
      <c r="B5" s="12">
        <v>51</v>
      </c>
      <c r="C5" s="12">
        <v>307</v>
      </c>
      <c r="D5" s="12">
        <f t="shared" si="0"/>
        <v>0.83387622149837137</v>
      </c>
      <c r="E5" s="11" t="s">
        <v>5</v>
      </c>
    </row>
    <row r="6" spans="1:5" ht="51" x14ac:dyDescent="0.2">
      <c r="A6" s="5">
        <v>46209</v>
      </c>
      <c r="B6" s="12">
        <v>71</v>
      </c>
      <c r="C6" s="12">
        <v>185</v>
      </c>
      <c r="D6" s="12">
        <f t="shared" si="0"/>
        <v>0.61621621621621614</v>
      </c>
      <c r="E6" s="11" t="s">
        <v>7</v>
      </c>
    </row>
    <row r="7" spans="1:5" ht="51" x14ac:dyDescent="0.2">
      <c r="A7" s="5">
        <v>46223</v>
      </c>
      <c r="B7" s="12">
        <v>29</v>
      </c>
      <c r="C7" s="12">
        <v>245</v>
      </c>
      <c r="D7" s="12">
        <f t="shared" si="0"/>
        <v>0.88163265306122451</v>
      </c>
      <c r="E7" s="11" t="s">
        <v>8</v>
      </c>
    </row>
    <row r="8" spans="1:5" ht="17" x14ac:dyDescent="0.2">
      <c r="A8" s="5">
        <v>46260</v>
      </c>
      <c r="B8" s="12">
        <v>18</v>
      </c>
      <c r="C8" s="12">
        <v>79</v>
      </c>
      <c r="D8" s="12">
        <f t="shared" si="0"/>
        <v>0.77215189873417722</v>
      </c>
      <c r="E8" s="11" t="s">
        <v>11</v>
      </c>
    </row>
    <row r="9" spans="1:5" ht="34" x14ac:dyDescent="0.2">
      <c r="A9" s="5">
        <v>46270</v>
      </c>
      <c r="B9" s="12">
        <v>6</v>
      </c>
      <c r="C9" s="12">
        <v>41</v>
      </c>
      <c r="D9" s="12">
        <f t="shared" si="0"/>
        <v>0.85365853658536583</v>
      </c>
      <c r="E9" s="11" t="s">
        <v>12</v>
      </c>
    </row>
    <row r="10" spans="1:5" ht="51" x14ac:dyDescent="0.2">
      <c r="A10" s="5">
        <v>46220</v>
      </c>
      <c r="B10" s="12">
        <v>105</v>
      </c>
      <c r="C10" s="12">
        <v>362</v>
      </c>
      <c r="D10" s="12">
        <f t="shared" si="0"/>
        <v>0.70994475138121549</v>
      </c>
      <c r="E10" s="11" t="s">
        <v>13</v>
      </c>
    </row>
    <row r="11" spans="1:5" ht="51" x14ac:dyDescent="0.2">
      <c r="A11" s="5">
        <v>45870</v>
      </c>
      <c r="B11" s="12">
        <v>148</v>
      </c>
      <c r="C11" s="12">
        <v>289</v>
      </c>
      <c r="D11" s="12">
        <f t="shared" si="0"/>
        <v>0.48788927335640142</v>
      </c>
      <c r="E11" s="11" t="s">
        <v>14</v>
      </c>
    </row>
    <row r="12" spans="1:5" ht="51" x14ac:dyDescent="0.2">
      <c r="A12" s="5">
        <v>45815</v>
      </c>
      <c r="B12" s="12">
        <v>14</v>
      </c>
      <c r="C12" s="12">
        <v>63</v>
      </c>
      <c r="D12" s="12">
        <f t="shared" si="0"/>
        <v>0.77777777777777779</v>
      </c>
      <c r="E12" s="11" t="s">
        <v>15</v>
      </c>
    </row>
    <row r="13" spans="1:5" ht="17" x14ac:dyDescent="0.2">
      <c r="A13" s="5">
        <v>45822</v>
      </c>
      <c r="B13" s="12">
        <v>6</v>
      </c>
      <c r="C13" s="12">
        <v>39</v>
      </c>
      <c r="D13" s="12">
        <f t="shared" si="0"/>
        <v>0.84615384615384615</v>
      </c>
      <c r="E13" s="11" t="s">
        <v>3</v>
      </c>
    </row>
    <row r="14" spans="1:5" ht="68" x14ac:dyDescent="0.2">
      <c r="A14" s="5">
        <v>45877</v>
      </c>
      <c r="B14" s="12">
        <v>10</v>
      </c>
      <c r="C14" s="12">
        <v>58</v>
      </c>
      <c r="D14" s="12">
        <f t="shared" si="0"/>
        <v>0.82758620689655171</v>
      </c>
      <c r="E14" s="11" t="s">
        <v>19</v>
      </c>
    </row>
    <row r="15" spans="1:5" ht="51" x14ac:dyDescent="0.2">
      <c r="A15" s="5">
        <v>45896</v>
      </c>
      <c r="B15" s="12">
        <v>50</v>
      </c>
      <c r="C15" s="12">
        <v>79</v>
      </c>
      <c r="D15" s="12">
        <f t="shared" si="0"/>
        <v>0.36708860759493667</v>
      </c>
      <c r="E15" s="11" t="s">
        <v>50</v>
      </c>
    </row>
    <row r="16" spans="1:5" ht="17" x14ac:dyDescent="0.2">
      <c r="A16" s="5">
        <v>45450</v>
      </c>
      <c r="B16" s="12">
        <v>15</v>
      </c>
      <c r="C16" s="12">
        <v>65</v>
      </c>
      <c r="D16" s="12">
        <f t="shared" si="0"/>
        <v>0.76923076923076916</v>
      </c>
      <c r="E16" s="11" t="s">
        <v>23</v>
      </c>
    </row>
    <row r="17" spans="1:5" ht="34" x14ac:dyDescent="0.2">
      <c r="A17" s="5">
        <v>45535</v>
      </c>
      <c r="B17" s="12">
        <v>15</v>
      </c>
      <c r="C17" s="12">
        <v>46</v>
      </c>
      <c r="D17" s="12">
        <f t="shared" si="0"/>
        <v>0.67391304347826086</v>
      </c>
      <c r="E17" s="11" t="s">
        <v>20</v>
      </c>
    </row>
    <row r="18" spans="1:5" ht="17" x14ac:dyDescent="0.2">
      <c r="A18" s="5">
        <v>45479</v>
      </c>
      <c r="B18" s="12">
        <v>7</v>
      </c>
      <c r="C18" s="12">
        <v>36</v>
      </c>
      <c r="D18" s="12">
        <f t="shared" si="0"/>
        <v>0.80555555555555558</v>
      </c>
      <c r="E18" s="11" t="s">
        <v>22</v>
      </c>
    </row>
    <row r="19" spans="1:5" ht="17" x14ac:dyDescent="0.2">
      <c r="A19" s="5">
        <v>45465</v>
      </c>
      <c r="B19" s="12">
        <v>6</v>
      </c>
      <c r="C19" s="12">
        <v>33</v>
      </c>
      <c r="D19" s="12">
        <f t="shared" si="0"/>
        <v>0.81818181818181812</v>
      </c>
      <c r="E19" s="11" t="s">
        <v>24</v>
      </c>
    </row>
    <row r="20" spans="1:5" ht="68" x14ac:dyDescent="0.2">
      <c r="A20" s="5">
        <v>45542</v>
      </c>
      <c r="B20" s="12">
        <v>18</v>
      </c>
      <c r="C20" s="12">
        <v>39</v>
      </c>
      <c r="D20" s="12">
        <f t="shared" si="0"/>
        <v>0.53846153846153844</v>
      </c>
      <c r="E20" s="11" t="s">
        <v>21</v>
      </c>
    </row>
    <row r="21" spans="1:5" ht="17" x14ac:dyDescent="0.2">
      <c r="A21" s="5">
        <v>45458</v>
      </c>
      <c r="B21" s="12">
        <v>2</v>
      </c>
      <c r="C21" s="12">
        <v>21</v>
      </c>
      <c r="D21" s="12">
        <f t="shared" si="0"/>
        <v>0.90476190476190477</v>
      </c>
      <c r="E21" s="11" t="s">
        <v>3</v>
      </c>
    </row>
    <row r="22" spans="1:5" ht="17" x14ac:dyDescent="0.2">
      <c r="A22" s="5">
        <v>45493</v>
      </c>
      <c r="B22" s="12">
        <v>19</v>
      </c>
      <c r="C22" s="12">
        <v>21</v>
      </c>
      <c r="D22" s="12">
        <f t="shared" si="0"/>
        <v>9.5238095238095233E-2</v>
      </c>
      <c r="E22" s="11" t="s">
        <v>51</v>
      </c>
    </row>
    <row r="23" spans="1:5" ht="51" x14ac:dyDescent="0.2">
      <c r="A23" s="5">
        <v>45513</v>
      </c>
      <c r="B23" s="12">
        <v>10</v>
      </c>
      <c r="C23" s="12">
        <v>68</v>
      </c>
      <c r="D23" s="12">
        <f t="shared" si="0"/>
        <v>0.8529411764705882</v>
      </c>
      <c r="E23" s="11" t="s">
        <v>26</v>
      </c>
    </row>
    <row r="24" spans="1:5" ht="34" x14ac:dyDescent="0.2">
      <c r="A24" s="5">
        <v>45169</v>
      </c>
      <c r="B24" s="12">
        <v>11</v>
      </c>
      <c r="C24" s="12">
        <v>44</v>
      </c>
      <c r="D24" s="12">
        <f t="shared" si="0"/>
        <v>0.75</v>
      </c>
      <c r="E24" s="11" t="s">
        <v>27</v>
      </c>
    </row>
    <row r="25" spans="1:5" ht="68" x14ac:dyDescent="0.2">
      <c r="A25" s="5">
        <v>45148</v>
      </c>
      <c r="B25" s="12">
        <v>52</v>
      </c>
      <c r="C25" s="12">
        <v>78</v>
      </c>
      <c r="D25" s="12">
        <f t="shared" si="0"/>
        <v>0.33333333333333337</v>
      </c>
      <c r="E25" s="11" t="s">
        <v>33</v>
      </c>
    </row>
    <row r="26" spans="1:5" ht="51" x14ac:dyDescent="0.2">
      <c r="A26" s="5">
        <v>45115</v>
      </c>
      <c r="B26" s="12">
        <v>9</v>
      </c>
      <c r="C26" s="12">
        <v>35</v>
      </c>
      <c r="D26" s="12">
        <f t="shared" si="0"/>
        <v>0.74285714285714288</v>
      </c>
      <c r="E26" s="11" t="s">
        <v>34</v>
      </c>
    </row>
    <row r="27" spans="1:5" ht="51" x14ac:dyDescent="0.2">
      <c r="A27" s="5">
        <v>45073</v>
      </c>
      <c r="B27" s="12">
        <v>9</v>
      </c>
      <c r="C27" s="12">
        <v>31</v>
      </c>
      <c r="D27" s="12">
        <f t="shared" si="0"/>
        <v>0.70967741935483875</v>
      </c>
      <c r="E27" s="11" t="s">
        <v>36</v>
      </c>
    </row>
    <row r="28" spans="1:5" ht="68" x14ac:dyDescent="0.2">
      <c r="A28" s="5">
        <v>45178</v>
      </c>
      <c r="B28" s="12">
        <v>9</v>
      </c>
      <c r="C28" s="12">
        <v>31</v>
      </c>
      <c r="D28" s="12">
        <f t="shared" si="0"/>
        <v>0.70967741935483875</v>
      </c>
      <c r="E28" s="11" t="s">
        <v>37</v>
      </c>
    </row>
    <row r="29" spans="1:5" ht="34" x14ac:dyDescent="0.2">
      <c r="A29" s="5">
        <v>45092</v>
      </c>
      <c r="B29" s="12">
        <v>29</v>
      </c>
      <c r="C29" s="12">
        <v>35</v>
      </c>
      <c r="D29" s="12">
        <f t="shared" si="0"/>
        <v>0.17142857142857137</v>
      </c>
      <c r="E29" s="11" t="s">
        <v>35</v>
      </c>
    </row>
    <row r="30" spans="1:5" ht="51" x14ac:dyDescent="0.2">
      <c r="A30" s="5">
        <v>45149</v>
      </c>
      <c r="B30" s="12">
        <v>21</v>
      </c>
      <c r="C30" s="12">
        <v>55</v>
      </c>
      <c r="D30" s="12">
        <f t="shared" si="0"/>
        <v>0.61818181818181817</v>
      </c>
      <c r="E30" s="11" t="s">
        <v>38</v>
      </c>
    </row>
    <row r="31" spans="1:5" ht="17" x14ac:dyDescent="0.2">
      <c r="A31" s="5">
        <v>45135</v>
      </c>
      <c r="B31" s="12">
        <v>7</v>
      </c>
      <c r="C31" s="12">
        <v>29</v>
      </c>
      <c r="D31" s="12">
        <f t="shared" si="0"/>
        <v>0.75862068965517238</v>
      </c>
      <c r="E31" s="11" t="s">
        <v>25</v>
      </c>
    </row>
    <row r="32" spans="1:5" ht="17" x14ac:dyDescent="0.2">
      <c r="A32" s="5">
        <v>45199</v>
      </c>
      <c r="B32" s="12">
        <v>14</v>
      </c>
      <c r="C32" s="12">
        <v>37</v>
      </c>
      <c r="D32" s="12">
        <f t="shared" si="0"/>
        <v>0.6216216216216216</v>
      </c>
      <c r="E32" s="11" t="s">
        <v>39</v>
      </c>
    </row>
    <row r="33" spans="1:5" ht="34" x14ac:dyDescent="0.2">
      <c r="A33" s="5">
        <v>44807</v>
      </c>
      <c r="B33" s="12">
        <v>44</v>
      </c>
      <c r="C33" s="12">
        <v>45</v>
      </c>
      <c r="D33" s="12">
        <f t="shared" si="0"/>
        <v>2.2222222222222254E-2</v>
      </c>
      <c r="E33" s="11" t="s">
        <v>40</v>
      </c>
    </row>
    <row r="34" spans="1:5" ht="34" x14ac:dyDescent="0.2">
      <c r="A34" s="5">
        <v>44723</v>
      </c>
      <c r="B34" s="12">
        <v>26</v>
      </c>
      <c r="C34" s="12">
        <v>41</v>
      </c>
      <c r="D34" s="12">
        <f t="shared" si="0"/>
        <v>0.36585365853658536</v>
      </c>
      <c r="E34" s="11" t="s">
        <v>42</v>
      </c>
    </row>
    <row r="35" spans="1:5" ht="17" x14ac:dyDescent="0.2">
      <c r="A35" s="5">
        <v>44835</v>
      </c>
      <c r="B35" s="12">
        <v>43</v>
      </c>
      <c r="C35" s="12">
        <v>48</v>
      </c>
      <c r="D35" s="12">
        <f t="shared" si="0"/>
        <v>0.10416666666666663</v>
      </c>
      <c r="E35" s="11" t="s">
        <v>43</v>
      </c>
    </row>
    <row r="36" spans="1:5" ht="17" x14ac:dyDescent="0.2">
      <c r="A36" s="2"/>
      <c r="B36" s="8"/>
      <c r="C36" s="8"/>
      <c r="D36" s="8"/>
    </row>
    <row r="37" spans="1:5" ht="17" x14ac:dyDescent="0.2">
      <c r="A37" s="2"/>
      <c r="B37" s="8"/>
      <c r="C37" s="8"/>
      <c r="D37" s="8"/>
      <c r="E37" s="9"/>
    </row>
  </sheetData>
  <hyperlinks>
    <hyperlink ref="E2" r:id="rId1" display="https://portal2.psko.pl/regaty/puchar-ks-zatoka-puck---opp-b-2026" xr:uid="{92C73110-FF61-FD4C-8FB2-E1E9880D5E49}"/>
    <hyperlink ref="E3" r:id="rId2" display="https://portal2.psko.pl/regaty/puchar-safege-2026" xr:uid="{E7479D72-96F3-4142-B9E2-CFAAEF2F4308}"/>
    <hyperlink ref="E4" r:id="rId3" display="https://portal2.psko.pl/regaty/puchar-tkz-torun-2026" xr:uid="{A4A90A71-B48D-4044-98D3-58E1C0C297B7}"/>
    <hyperlink ref="E5" r:id="rId4" display="https://portal2.psko.pl/regaty/42-regaty-pomaranczowe-eliminacja-mpm-2026" xr:uid="{467B49A7-53C9-FC4E-8183-750BF6B3C2BA}"/>
    <hyperlink ref="E6" r:id="rId5" display="https://portal2.psko.pl/regaty/puchar-trenerow-klasy-optimist-gr-b-w-ramach-lotto-gdynia-sailing-days-2026" xr:uid="{07ECACB3-2A2C-3B44-A440-4625C6591C0A}"/>
    <hyperlink ref="E7" r:id="rId6" display="https://portal2.psko.pl/regaty/puchar-jeziora-zegrzynskiego-eliminacja-mistrzostw-polski-mlodzikow-2026" xr:uid="{ABA083B1-F47B-0A4B-BC2D-2336D02A1041}"/>
    <hyperlink ref="E8" r:id="rId7" display="https://portal2.psko.pl/regaty/mistrzostwa-polski-mlodzikow-2026" xr:uid="{964199F3-0EF1-3647-8203-25F709D96D44}"/>
    <hyperlink ref="E9" r:id="rId8" display="https://portal2.psko.pl/regaty/puchar-znina-2026" xr:uid="{2060568C-C545-5444-A51B-36272B320B9D}"/>
    <hyperlink ref="E10" r:id="rId9" display="https://portal2.psko.pl/regaty/kinder-joy-of-moving,--puchar-trenerow,-eliminacja-mistrzostw-polski-mlodzikow-2025" xr:uid="{AB453DBC-7619-8941-B9C6-CD7096DF6622}"/>
    <hyperlink ref="E11" r:id="rId10" display="https://portal2.psko.pl/regaty/srebrny-zagiel-optimista,-eliminacja-mistrzostw-polski-mlodzikow-2025" xr:uid="{37954E7F-16DC-2644-A0A1-2242ED79FC08}"/>
    <hyperlink ref="E12" r:id="rId11" display="https://portal2.psko.pl/regaty/puchar-tkz-torun-2025" xr:uid="{132F47D0-28B6-9844-B408-98668C211D71}"/>
    <hyperlink ref="E13" r:id="rId12" display="https://portal2.psko.pl/regaty/puchar-safege-2025" xr:uid="{A3125F74-D9E3-4049-838B-EA2AECF7E0DA}"/>
    <hyperlink ref="E14" r:id="rId13" display="https://portal2.psko.pl/regaty/zagle-2025,-mistrzostwa-polskiego-stowarzyszenia-klasy-optimist-u-12-2025" xr:uid="{D24DBCED-0DB1-1647-A97D-A610123BB336}"/>
    <hyperlink ref="E16" r:id="rId14" display="https://portal2.psko.pl/regaty/puchar-tkz-2024" xr:uid="{E29A3531-D26C-2245-AC6E-E0AD3B50F0F7}"/>
    <hyperlink ref="E17" r:id="rId15" display="https://portal2.psko.pl/regaty/puchar-znina-2024" xr:uid="{47B4D731-C872-8745-95F4-CF57161348EC}"/>
    <hyperlink ref="E18" r:id="rId16" display="https://portal2.psko.pl/regaty/ix-regaty-o-puchar-columba-2024" xr:uid="{53F728DC-64C1-8C47-9AF1-A9F2860C8FB7}"/>
    <hyperlink ref="E19" r:id="rId17" display="https://portal2.psko.pl/regaty/regaty-o-puchar-kormorana-2024" xr:uid="{3B592B7A-2CC5-A849-AA59-8FD22C5EB27D}"/>
    <hyperlink ref="E20" r:id="rId18" display="https://portal2.psko.pl/regaty/xiii-regaty-optysiowe-2024" xr:uid="{F11FAF75-BB49-AD40-9144-CA4720533331}"/>
    <hyperlink ref="E21" r:id="rId19" display="https://portal2.psko.pl/regaty/puchar-safege-2024" xr:uid="{CCCAE64D-B7D5-9E44-9FDF-24044A290F73}"/>
    <hyperlink ref="E22" r:id="rId20" display="https://portal2.psko.pl/regaty/10-baltycki-puchar-klas-2024" xr:uid="{028FB2BD-418C-F843-9055-95C9F4ADC43A}"/>
    <hyperlink ref="E23" r:id="rId21" display="https://portal2.psko.pl/regaty/zagle-2024-xix-mistrzostwa-polskiego-stowarzyszenia-klasy-optimist-do-lat-11-2024" xr:uid="{0359F2E5-B85C-9F45-95BF-4EA88005DDE9}"/>
    <hyperlink ref="E24" r:id="rId22" display="https://portal2.psko.pl/regaty/puchar-znina-2023" xr:uid="{9F039AC2-AD4F-5B4D-9FA0-3B3A805D8377}"/>
    <hyperlink ref="E25" r:id="rId23" display="https://portal2.psko.pl/regaty/zagle-2023-xxi-ogolnopolskie-regaty-o-puchar-ziemi-zlocienieckiej-2023" xr:uid="{BBB97408-8771-7447-AC55-388C51BD5DC2}"/>
    <hyperlink ref="E26" r:id="rId24" display="https://portal2.psko.pl/regaty/viii-regaty-o-puchar-columba-2023" xr:uid="{C567056E-3FE1-8941-8D4C-5A83C8E3CF9B}"/>
    <hyperlink ref="E27" r:id="rId25" display="https://portal2.psko.pl/regaty/-puchar-burmistrza-czluchowa-2023" xr:uid="{7C21A92D-AE21-4E40-B071-E8EDFD54E41A}"/>
    <hyperlink ref="E28" r:id="rId26" display="https://portal2.psko.pl/regaty/xii-regaty-optysiowe-2023" xr:uid="{B1CAFCD6-8F8B-B149-BA9D-630DA0A15376}"/>
    <hyperlink ref="E29" r:id="rId27" display="https://portal2.psko.pl/regaty/puchar-safege-2023" xr:uid="{252DBE58-9C70-664B-895A-421A80C95188}"/>
    <hyperlink ref="E30" r:id="rId28" display="https://portal2.psko.pl/regaty/zagle-2023-xvii-mistrzostwa-polskiego-stowarzyszenia-klasy-optimist-do-lat-11-2023" xr:uid="{B9EDE181-5187-F049-A8D2-85FA88B88B7E}"/>
    <hyperlink ref="E31" r:id="rId29" display="https://portal2.psko.pl/regaty/mistrzostwa-psko-do-lat-9-2023" xr:uid="{DA055ECB-04F7-5044-9D8D-FD45572724F9}"/>
    <hyperlink ref="E32" r:id="rId30" display="https://portal2.psko.pl/regaty/mmm---pom,-kuj-pom-2023" xr:uid="{4C061EDF-E374-FF4B-8660-9D4F067CE200}"/>
    <hyperlink ref="E33" r:id="rId31" display="https://portal2.psko.pl/regaty/puchar-znina-2022" xr:uid="{43C8F71B-1352-3249-9929-4327C8627DEE}"/>
    <hyperlink ref="E34" r:id="rId32" display="https://portal2.psko.pl/regaty/puchar-safege-2022" xr:uid="{9F4BEEB4-C811-F547-B85F-EBD2965EEED4}"/>
    <hyperlink ref="E35" r:id="rId33" display="https://portal2.psko.pl/regaty/mmm---pom-i-kuj-pom-2022" xr:uid="{B3F9DF80-8CD1-CB41-AE26-4896F70DE7A5}"/>
    <hyperlink ref="E15" r:id="rId34" display="https://portal2.psko.pl/regaty/puchar-mazur,-mistrzostwa-polski-mlodzikow-2025" xr:uid="{E8F825DB-C9F5-C04C-899C-B22DD64B7FD8}"/>
  </hyperlinks>
  <pageMargins left="0.7" right="0.7" top="0.75" bottom="0.75" header="0.3" footer="0.3"/>
  <tableParts count="1">
    <tablePart r:id="rId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Paweł</vt:lpstr>
      <vt:lpstr>Wojciech</vt:lpstr>
      <vt:lpstr>Lidia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Popielarz</dc:creator>
  <cp:lastModifiedBy>Dominik Popielarz</cp:lastModifiedBy>
  <dcterms:created xsi:type="dcterms:W3CDTF">2026-09-09T05:16:59Z</dcterms:created>
  <dcterms:modified xsi:type="dcterms:W3CDTF">2026-09-09T07:19:44Z</dcterms:modified>
</cp:coreProperties>
</file>